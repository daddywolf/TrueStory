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drawings/drawing2.xml" ContentType="application/vnd.openxmlformats-officedocument.drawing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xl/activeX/activeX27.xml" ContentType="application/vnd.ms-office.activeX+xml"/>
  <Override PartName="/xl/activeX/activeX28.xml" ContentType="application/vnd.ms-office.activeX+xml"/>
  <Override PartName="/xl/drawings/drawing4.xml" ContentType="application/vnd.openxmlformats-officedocument.drawing+xml"/>
  <Override PartName="/xl/activeX/activeX29.xml" ContentType="application/vnd.ms-office.activeX+xml"/>
  <Override PartName="/xl/activeX/activeX30.xml" ContentType="application/vnd.ms-office.activeX+xml"/>
  <Override PartName="/xl/activeX/activeX31.xml" ContentType="application/vnd.ms-office.activeX+xml"/>
  <Override PartName="/xl/activeX/activeX32.xml" ContentType="application/vnd.ms-office.activeX+xml"/>
  <Override PartName="/xl/activeX/activeX33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\\Mac\Home\Library\Mobile Documents\com~apple~CloudDocs\雅思笔记相关\听\"/>
    </mc:Choice>
  </mc:AlternateContent>
  <xr:revisionPtr revIDLastSave="0" documentId="13_ncr:1_{DAE2F53F-C4EA-4799-A207-A35DD0D5B3B1}" xr6:coauthVersionLast="45" xr6:coauthVersionMax="45" xr10:uidLastSave="{00000000-0000-0000-0000-000000000000}"/>
  <bookViews>
    <workbookView xWindow="-98" yWindow="-98" windowWidth="19396" windowHeight="11596" xr2:uid="{00000000-000D-0000-FFFF-FFFF00000000}"/>
  </bookViews>
  <sheets>
    <sheet name="3单元横向测试" sheetId="1" r:id="rId1"/>
    <sheet name="4单元横向测试" sheetId="3" r:id="rId2"/>
    <sheet name="5单元横向测试" sheetId="5" r:id="rId3"/>
    <sheet name="11单元横向测试" sheetId="6" r:id="rId4"/>
    <sheet name="错词表" sheetId="4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4" i="3" l="1"/>
  <c r="N5" i="3"/>
  <c r="N7" i="3"/>
  <c r="N10" i="3"/>
  <c r="N11" i="3"/>
  <c r="N12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L4" i="3"/>
  <c r="L5" i="3"/>
  <c r="L6" i="3"/>
  <c r="L7" i="3"/>
  <c r="L10" i="3"/>
  <c r="L11" i="3"/>
  <c r="L12" i="3"/>
  <c r="L13" i="3"/>
  <c r="L14" i="3"/>
  <c r="L17" i="3"/>
  <c r="L18" i="3"/>
  <c r="L19" i="3"/>
  <c r="L20" i="3"/>
  <c r="L22" i="3"/>
  <c r="L23" i="3"/>
  <c r="L24" i="3"/>
  <c r="L25" i="3"/>
  <c r="L26" i="3"/>
  <c r="L28" i="3"/>
  <c r="L29" i="3"/>
  <c r="L31" i="3"/>
  <c r="L34" i="3"/>
  <c r="L36" i="3"/>
  <c r="L37" i="3"/>
  <c r="L38" i="3"/>
  <c r="L39" i="3"/>
  <c r="L41" i="3"/>
  <c r="L44" i="3"/>
  <c r="L45" i="3"/>
  <c r="L46" i="3"/>
  <c r="L47" i="3"/>
  <c r="L49" i="3"/>
  <c r="L50" i="3"/>
  <c r="L51" i="3"/>
  <c r="L54" i="3"/>
  <c r="L56" i="3"/>
  <c r="L57" i="3"/>
  <c r="L58" i="3"/>
  <c r="L59" i="3"/>
  <c r="L60" i="3"/>
  <c r="L61" i="3"/>
  <c r="L62" i="3"/>
  <c r="L63" i="3"/>
  <c r="L64" i="3"/>
  <c r="L65" i="3"/>
  <c r="L66" i="3"/>
  <c r="L67" i="3"/>
  <c r="L69" i="3"/>
  <c r="L70" i="3"/>
  <c r="L71" i="3"/>
  <c r="L72" i="3"/>
  <c r="L74" i="3"/>
  <c r="L75" i="3"/>
  <c r="L76" i="3"/>
  <c r="L78" i="3"/>
  <c r="L80" i="3"/>
  <c r="L81" i="3"/>
  <c r="L82" i="3"/>
  <c r="L86" i="3"/>
  <c r="L87" i="3"/>
  <c r="L88" i="3"/>
  <c r="L89" i="3"/>
  <c r="L92" i="3"/>
  <c r="L93" i="3"/>
  <c r="L95" i="3"/>
  <c r="L97" i="3"/>
  <c r="L98" i="3"/>
  <c r="L99" i="3"/>
  <c r="L103" i="3"/>
  <c r="L104" i="3"/>
  <c r="L105" i="3"/>
  <c r="L106" i="3"/>
  <c r="L107" i="3"/>
  <c r="L109" i="3"/>
  <c r="L110" i="3"/>
  <c r="L111" i="3"/>
  <c r="L112" i="3"/>
  <c r="L113" i="3"/>
  <c r="L114" i="3"/>
  <c r="L115" i="3"/>
  <c r="L117" i="3"/>
  <c r="L118" i="3"/>
  <c r="L119" i="3"/>
  <c r="L120" i="3"/>
  <c r="L121" i="3"/>
  <c r="L123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J4" i="3"/>
  <c r="J5" i="3"/>
  <c r="J6" i="3"/>
  <c r="J7" i="3"/>
  <c r="J9" i="3"/>
  <c r="J10" i="3"/>
  <c r="J11" i="3"/>
  <c r="J12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8" i="3"/>
  <c r="J29" i="3"/>
  <c r="J30" i="3"/>
  <c r="J31" i="3"/>
  <c r="J33" i="3"/>
  <c r="J35" i="3"/>
  <c r="J37" i="3"/>
  <c r="J39" i="3"/>
  <c r="J40" i="3"/>
  <c r="J41" i="3"/>
  <c r="J44" i="3"/>
  <c r="J46" i="3"/>
  <c r="J47" i="3"/>
  <c r="J49" i="3"/>
  <c r="J50" i="3"/>
  <c r="J51" i="3"/>
  <c r="J52" i="3"/>
  <c r="J53" i="3"/>
  <c r="J54" i="3"/>
  <c r="J55" i="3"/>
  <c r="J58" i="3"/>
  <c r="J59" i="3"/>
  <c r="J60" i="3"/>
  <c r="J61" i="3"/>
  <c r="J62" i="3"/>
  <c r="J63" i="3"/>
  <c r="J64" i="3"/>
  <c r="J65" i="3"/>
  <c r="J67" i="3"/>
  <c r="J68" i="3"/>
  <c r="J69" i="3"/>
  <c r="J70" i="3"/>
  <c r="J71" i="3"/>
  <c r="J72" i="3"/>
  <c r="J76" i="3"/>
  <c r="J77" i="3"/>
  <c r="J78" i="3"/>
  <c r="J80" i="3"/>
  <c r="J81" i="3"/>
  <c r="J83" i="3"/>
  <c r="J85" i="3"/>
  <c r="J86" i="3"/>
  <c r="J87" i="3"/>
  <c r="J88" i="3"/>
  <c r="J89" i="3"/>
  <c r="J90" i="3"/>
  <c r="J92" i="3"/>
  <c r="J93" i="3"/>
  <c r="J94" i="3"/>
  <c r="J95" i="3"/>
  <c r="J96" i="3"/>
  <c r="J97" i="3"/>
  <c r="J100" i="3"/>
  <c r="J101" i="3"/>
  <c r="J102" i="3"/>
  <c r="J103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H4" i="3"/>
  <c r="H5" i="3"/>
  <c r="H6" i="3"/>
  <c r="H8" i="3"/>
  <c r="H9" i="3"/>
  <c r="H10" i="3"/>
  <c r="H12" i="3"/>
  <c r="H14" i="3"/>
  <c r="H16" i="3"/>
  <c r="H18" i="3"/>
  <c r="H19" i="3"/>
  <c r="H20" i="3"/>
  <c r="H22" i="3"/>
  <c r="H23" i="3"/>
  <c r="H26" i="3"/>
  <c r="H27" i="3"/>
  <c r="H28" i="3"/>
  <c r="H29" i="3"/>
  <c r="H30" i="3"/>
  <c r="H33" i="3"/>
  <c r="H34" i="3"/>
  <c r="H35" i="3"/>
  <c r="H36" i="3"/>
  <c r="H37" i="3"/>
  <c r="H38" i="3"/>
  <c r="H39" i="3"/>
  <c r="H42" i="3"/>
  <c r="H44" i="3"/>
  <c r="H45" i="3"/>
  <c r="H46" i="3"/>
  <c r="H47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5" i="3"/>
  <c r="H66" i="3"/>
  <c r="H67" i="3"/>
  <c r="H70" i="3"/>
  <c r="H71" i="3"/>
  <c r="H72" i="3"/>
  <c r="H74" i="3"/>
  <c r="H75" i="3"/>
  <c r="H76" i="3"/>
  <c r="H77" i="3"/>
  <c r="H79" i="3"/>
  <c r="H80" i="3"/>
  <c r="H81" i="3"/>
  <c r="H82" i="3"/>
  <c r="H84" i="3"/>
  <c r="H85" i="3"/>
  <c r="H86" i="3"/>
  <c r="H88" i="3"/>
  <c r="H89" i="3"/>
  <c r="H90" i="3"/>
  <c r="H92" i="3"/>
  <c r="H93" i="3"/>
  <c r="H95" i="3"/>
  <c r="H96" i="3"/>
  <c r="H97" i="3"/>
  <c r="H98" i="3"/>
  <c r="H100" i="3"/>
  <c r="H101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AN154" i="1"/>
  <c r="AN153" i="1"/>
  <c r="AN152" i="1"/>
  <c r="AN151" i="1"/>
  <c r="AN150" i="1"/>
  <c r="AN149" i="1"/>
  <c r="AN148" i="1"/>
  <c r="AB148" i="1"/>
  <c r="AN147" i="1"/>
  <c r="AH147" i="1"/>
  <c r="AB147" i="1"/>
  <c r="AN146" i="1"/>
  <c r="AH146" i="1"/>
  <c r="AB146" i="1"/>
  <c r="AN145" i="1"/>
  <c r="AH145" i="1"/>
  <c r="AB145" i="1"/>
  <c r="AP144" i="1"/>
  <c r="AN144" i="1"/>
  <c r="AH144" i="1"/>
  <c r="AB144" i="1"/>
  <c r="AP143" i="1"/>
  <c r="AN143" i="1"/>
  <c r="AH143" i="1"/>
  <c r="AB143" i="1"/>
  <c r="AP142" i="1"/>
  <c r="AN142" i="1"/>
  <c r="AH142" i="1"/>
  <c r="AB142" i="1"/>
  <c r="AP141" i="1"/>
  <c r="AN141" i="1"/>
  <c r="AH141" i="1"/>
  <c r="AB141" i="1"/>
  <c r="AP140" i="1"/>
  <c r="AN140" i="1"/>
  <c r="AH140" i="1"/>
  <c r="AB140" i="1"/>
  <c r="AP139" i="1"/>
  <c r="AN139" i="1"/>
  <c r="AH139" i="1"/>
  <c r="AB139" i="1"/>
  <c r="AP138" i="1"/>
  <c r="AN138" i="1"/>
  <c r="AH138" i="1"/>
  <c r="AB138" i="1"/>
  <c r="AP137" i="1"/>
  <c r="AN137" i="1"/>
  <c r="AH137" i="1"/>
  <c r="AB137" i="1"/>
  <c r="AP136" i="1"/>
  <c r="AN136" i="1"/>
  <c r="AH136" i="1"/>
  <c r="AB136" i="1"/>
  <c r="AP135" i="1"/>
  <c r="AN135" i="1"/>
  <c r="AH135" i="1"/>
  <c r="AB135" i="1"/>
  <c r="AP134" i="1"/>
  <c r="AN134" i="1"/>
  <c r="AH134" i="1"/>
  <c r="AB134" i="1"/>
  <c r="AP133" i="1"/>
  <c r="AN133" i="1"/>
  <c r="AH133" i="1"/>
  <c r="AB133" i="1"/>
  <c r="AP132" i="1"/>
  <c r="AN132" i="1"/>
  <c r="AH132" i="1"/>
  <c r="AB132" i="1"/>
  <c r="AP131" i="1"/>
  <c r="AN131" i="1"/>
  <c r="AH131" i="1"/>
  <c r="AB131" i="1"/>
  <c r="AP130" i="1"/>
  <c r="AN130" i="1"/>
  <c r="AH130" i="1"/>
  <c r="AB130" i="1"/>
  <c r="AP129" i="1"/>
  <c r="AN129" i="1"/>
  <c r="AH129" i="1"/>
  <c r="AB129" i="1"/>
  <c r="AP128" i="1"/>
  <c r="AN128" i="1"/>
  <c r="AH128" i="1"/>
  <c r="AB128" i="1"/>
  <c r="AP127" i="1"/>
  <c r="AN127" i="1"/>
  <c r="AH127" i="1"/>
  <c r="AB127" i="1"/>
  <c r="AP126" i="1"/>
  <c r="AN126" i="1"/>
  <c r="AH126" i="1"/>
  <c r="AB126" i="1"/>
  <c r="AP125" i="1"/>
  <c r="AN125" i="1"/>
  <c r="AH125" i="1"/>
  <c r="AB125" i="1"/>
  <c r="AP124" i="1"/>
  <c r="AN124" i="1"/>
  <c r="AH124" i="1"/>
  <c r="AB124" i="1"/>
  <c r="AP123" i="1"/>
  <c r="AN123" i="1"/>
  <c r="AH123" i="1"/>
  <c r="AB123" i="1"/>
  <c r="AP122" i="1"/>
  <c r="AN122" i="1"/>
  <c r="AH122" i="1"/>
  <c r="AB122" i="1"/>
  <c r="AP121" i="1"/>
  <c r="AN121" i="1"/>
  <c r="AH121" i="1"/>
  <c r="AB121" i="1"/>
  <c r="AP120" i="1"/>
  <c r="AN120" i="1"/>
  <c r="AH120" i="1"/>
  <c r="AB120" i="1"/>
  <c r="AP119" i="1"/>
  <c r="AN119" i="1"/>
  <c r="AH119" i="1"/>
  <c r="AB119" i="1"/>
  <c r="AP118" i="1"/>
  <c r="AN118" i="1"/>
  <c r="AH118" i="1"/>
  <c r="AB118" i="1"/>
  <c r="AP117" i="1"/>
  <c r="AN117" i="1"/>
  <c r="AH117" i="1"/>
  <c r="AB117" i="1"/>
  <c r="AP116" i="1"/>
  <c r="AN116" i="1"/>
  <c r="AH116" i="1"/>
  <c r="AB116" i="1"/>
  <c r="AP115" i="1"/>
  <c r="AN115" i="1"/>
  <c r="AJ115" i="1"/>
  <c r="AH115" i="1"/>
  <c r="AD115" i="1"/>
  <c r="AB115" i="1"/>
  <c r="Z115" i="1"/>
  <c r="AP114" i="1"/>
  <c r="AN114" i="1"/>
  <c r="AJ114" i="1"/>
  <c r="AH114" i="1"/>
  <c r="AF114" i="1"/>
  <c r="AD114" i="1"/>
  <c r="AB114" i="1"/>
  <c r="Z114" i="1"/>
  <c r="AP113" i="1"/>
  <c r="AN113" i="1"/>
  <c r="AJ113" i="1"/>
  <c r="AH113" i="1"/>
  <c r="AF113" i="1"/>
  <c r="AD113" i="1"/>
  <c r="AB113" i="1"/>
  <c r="Z113" i="1"/>
  <c r="AP112" i="1"/>
  <c r="AN112" i="1"/>
  <c r="AJ112" i="1"/>
  <c r="AH112" i="1"/>
  <c r="AF112" i="1"/>
  <c r="AD112" i="1"/>
  <c r="AB112" i="1"/>
  <c r="Z112" i="1"/>
  <c r="AP111" i="1"/>
  <c r="AN111" i="1"/>
  <c r="AJ111" i="1"/>
  <c r="AH111" i="1"/>
  <c r="AF111" i="1"/>
  <c r="AD111" i="1"/>
  <c r="AB111" i="1"/>
  <c r="Z111" i="1"/>
  <c r="AP110" i="1"/>
  <c r="AN110" i="1"/>
  <c r="AJ110" i="1"/>
  <c r="AH110" i="1"/>
  <c r="AF110" i="1"/>
  <c r="AD110" i="1"/>
  <c r="AB110" i="1"/>
  <c r="Z110" i="1"/>
  <c r="AP109" i="1"/>
  <c r="AN109" i="1"/>
  <c r="AJ109" i="1"/>
  <c r="AH109" i="1"/>
  <c r="AF109" i="1"/>
  <c r="AD109" i="1"/>
  <c r="AB109" i="1"/>
  <c r="Z109" i="1"/>
  <c r="AP108" i="1"/>
  <c r="AN108" i="1"/>
  <c r="AJ108" i="1"/>
  <c r="AH108" i="1"/>
  <c r="AF108" i="1"/>
  <c r="AD108" i="1"/>
  <c r="AB108" i="1"/>
  <c r="Z108" i="1"/>
  <c r="AP107" i="1"/>
  <c r="AN107" i="1"/>
  <c r="AJ107" i="1"/>
  <c r="AH107" i="1"/>
  <c r="AF107" i="1"/>
  <c r="AD107" i="1"/>
  <c r="AB107" i="1"/>
  <c r="Z107" i="1"/>
  <c r="AP106" i="1"/>
  <c r="AN106" i="1"/>
  <c r="AL106" i="1"/>
  <c r="AJ106" i="1"/>
  <c r="AH106" i="1"/>
  <c r="AF106" i="1"/>
  <c r="AD106" i="1"/>
  <c r="AB106" i="1"/>
  <c r="Z106" i="1"/>
  <c r="AP105" i="1"/>
  <c r="AN105" i="1"/>
  <c r="AL105" i="1"/>
  <c r="AJ105" i="1"/>
  <c r="AH105" i="1"/>
  <c r="AF105" i="1"/>
  <c r="AD105" i="1"/>
  <c r="AB105" i="1"/>
  <c r="Z105" i="1"/>
  <c r="AP104" i="1"/>
  <c r="AN104" i="1"/>
  <c r="AL104" i="1"/>
  <c r="AJ104" i="1"/>
  <c r="AH104" i="1"/>
  <c r="AF104" i="1"/>
  <c r="AD104" i="1"/>
  <c r="AB104" i="1"/>
  <c r="Z104" i="1"/>
  <c r="AP103" i="1"/>
  <c r="AN103" i="1"/>
  <c r="AL103" i="1"/>
  <c r="AJ103" i="1"/>
  <c r="AH103" i="1"/>
  <c r="AF103" i="1"/>
  <c r="AD103" i="1"/>
  <c r="AB103" i="1"/>
  <c r="Z103" i="1"/>
  <c r="AP102" i="1"/>
  <c r="AN102" i="1"/>
  <c r="AL102" i="1"/>
  <c r="AJ102" i="1"/>
  <c r="AH102" i="1"/>
  <c r="AF102" i="1"/>
  <c r="AD102" i="1"/>
  <c r="AB102" i="1"/>
  <c r="Z102" i="1"/>
  <c r="AP101" i="1"/>
  <c r="AN101" i="1"/>
  <c r="AL101" i="1"/>
  <c r="AJ101" i="1"/>
  <c r="AH101" i="1"/>
  <c r="AF101" i="1"/>
  <c r="AD101" i="1"/>
  <c r="AB101" i="1"/>
  <c r="Z101" i="1"/>
  <c r="AP100" i="1"/>
  <c r="AN100" i="1"/>
  <c r="AL100" i="1"/>
  <c r="AJ100" i="1"/>
  <c r="AH100" i="1"/>
  <c r="AF100" i="1"/>
  <c r="AD100" i="1"/>
  <c r="AB100" i="1"/>
  <c r="Z100" i="1"/>
  <c r="AP99" i="1"/>
  <c r="AN99" i="1"/>
  <c r="AL99" i="1"/>
  <c r="AJ99" i="1"/>
  <c r="AH99" i="1"/>
  <c r="AF99" i="1"/>
  <c r="AD99" i="1"/>
  <c r="AB99" i="1"/>
  <c r="Z99" i="1"/>
  <c r="AP98" i="1"/>
  <c r="AN98" i="1"/>
  <c r="AL98" i="1"/>
  <c r="AJ98" i="1"/>
  <c r="AH98" i="1"/>
  <c r="AF98" i="1"/>
  <c r="AD98" i="1"/>
  <c r="AB98" i="1"/>
  <c r="Z98" i="1"/>
  <c r="AP97" i="1"/>
  <c r="AN97" i="1"/>
  <c r="AL97" i="1"/>
  <c r="AJ97" i="1"/>
  <c r="AH97" i="1"/>
  <c r="AF97" i="1"/>
  <c r="AD97" i="1"/>
  <c r="AB97" i="1"/>
  <c r="Z97" i="1"/>
  <c r="AP96" i="1"/>
  <c r="AN96" i="1"/>
  <c r="AL96" i="1"/>
  <c r="AJ96" i="1"/>
  <c r="AH96" i="1"/>
  <c r="AF96" i="1"/>
  <c r="AD96" i="1"/>
  <c r="AB96" i="1"/>
  <c r="Z96" i="1"/>
  <c r="AP95" i="1"/>
  <c r="AN95" i="1"/>
  <c r="AL95" i="1"/>
  <c r="AJ95" i="1"/>
  <c r="AH95" i="1"/>
  <c r="AF95" i="1"/>
  <c r="AD95" i="1"/>
  <c r="AB95" i="1"/>
  <c r="Z95" i="1"/>
  <c r="AP94" i="1"/>
  <c r="AN94" i="1"/>
  <c r="AL94" i="1"/>
  <c r="AJ94" i="1"/>
  <c r="AH94" i="1"/>
  <c r="AF94" i="1"/>
  <c r="AD94" i="1"/>
  <c r="AB94" i="1"/>
  <c r="Z94" i="1"/>
  <c r="AP93" i="1"/>
  <c r="AN93" i="1"/>
  <c r="AL93" i="1"/>
  <c r="AJ93" i="1"/>
  <c r="AH93" i="1"/>
  <c r="AF93" i="1"/>
  <c r="AD93" i="1"/>
  <c r="AB93" i="1"/>
  <c r="Z93" i="1"/>
  <c r="AP92" i="1"/>
  <c r="AN92" i="1"/>
  <c r="AL92" i="1"/>
  <c r="AJ92" i="1"/>
  <c r="AH92" i="1"/>
  <c r="AF92" i="1"/>
  <c r="AD92" i="1"/>
  <c r="AB92" i="1"/>
  <c r="Z92" i="1"/>
  <c r="AP91" i="1"/>
  <c r="AN91" i="1"/>
  <c r="AL91" i="1"/>
  <c r="AJ91" i="1"/>
  <c r="AH91" i="1"/>
  <c r="AF91" i="1"/>
  <c r="AD91" i="1"/>
  <c r="AB91" i="1"/>
  <c r="Z91" i="1"/>
  <c r="AP90" i="1"/>
  <c r="AN90" i="1"/>
  <c r="AL90" i="1"/>
  <c r="AJ90" i="1"/>
  <c r="AH90" i="1"/>
  <c r="AF90" i="1"/>
  <c r="AD90" i="1"/>
  <c r="AB90" i="1"/>
  <c r="Z90" i="1"/>
  <c r="AP89" i="1"/>
  <c r="AN89" i="1"/>
  <c r="AL89" i="1"/>
  <c r="AJ89" i="1"/>
  <c r="AH89" i="1"/>
  <c r="AF89" i="1"/>
  <c r="AD89" i="1"/>
  <c r="AB89" i="1"/>
  <c r="Z89" i="1"/>
  <c r="AP88" i="1"/>
  <c r="AN88" i="1"/>
  <c r="AL88" i="1"/>
  <c r="AJ88" i="1"/>
  <c r="AH88" i="1"/>
  <c r="AF88" i="1"/>
  <c r="AD88" i="1"/>
  <c r="AB88" i="1"/>
  <c r="Z88" i="1"/>
  <c r="AP87" i="1"/>
  <c r="AN87" i="1"/>
  <c r="AL87" i="1"/>
  <c r="AJ87" i="1"/>
  <c r="AH87" i="1"/>
  <c r="AF87" i="1"/>
  <c r="AD87" i="1"/>
  <c r="AB87" i="1"/>
  <c r="Z87" i="1"/>
  <c r="AP86" i="1"/>
  <c r="AN86" i="1"/>
  <c r="AL86" i="1"/>
  <c r="AJ86" i="1"/>
  <c r="AH86" i="1"/>
  <c r="AF86" i="1"/>
  <c r="AD86" i="1"/>
  <c r="AB86" i="1"/>
  <c r="Z86" i="1"/>
  <c r="AP85" i="1"/>
  <c r="AN85" i="1"/>
  <c r="AL85" i="1"/>
  <c r="AJ85" i="1"/>
  <c r="AH85" i="1"/>
  <c r="AF85" i="1"/>
  <c r="AD85" i="1"/>
  <c r="AB85" i="1"/>
  <c r="Z85" i="1"/>
  <c r="AP84" i="1"/>
  <c r="AN84" i="1"/>
  <c r="AL84" i="1"/>
  <c r="AJ84" i="1"/>
  <c r="AH84" i="1"/>
  <c r="AF84" i="1"/>
  <c r="AD84" i="1"/>
  <c r="AB84" i="1"/>
  <c r="Z84" i="1"/>
  <c r="AP83" i="1"/>
  <c r="AN83" i="1"/>
  <c r="AL83" i="1"/>
  <c r="AJ83" i="1"/>
  <c r="AH83" i="1"/>
  <c r="AF83" i="1"/>
  <c r="AD83" i="1"/>
  <c r="AB83" i="1"/>
  <c r="Z83" i="1"/>
  <c r="AP82" i="1"/>
  <c r="AN82" i="1"/>
  <c r="AL82" i="1"/>
  <c r="AJ82" i="1"/>
  <c r="AH82" i="1"/>
  <c r="AF82" i="1"/>
  <c r="AD82" i="1"/>
  <c r="AB82" i="1"/>
  <c r="Z82" i="1"/>
  <c r="AP81" i="1"/>
  <c r="AN81" i="1"/>
  <c r="AL81" i="1"/>
  <c r="AJ81" i="1"/>
  <c r="AH81" i="1"/>
  <c r="AF81" i="1"/>
  <c r="AD81" i="1"/>
  <c r="AB81" i="1"/>
  <c r="Z81" i="1"/>
  <c r="AP80" i="1"/>
  <c r="AN80" i="1"/>
  <c r="AL80" i="1"/>
  <c r="AJ80" i="1"/>
  <c r="AH80" i="1"/>
  <c r="AF80" i="1"/>
  <c r="AD80" i="1"/>
  <c r="AB80" i="1"/>
  <c r="Z80" i="1"/>
  <c r="AP79" i="1"/>
  <c r="AN79" i="1"/>
  <c r="AL79" i="1"/>
  <c r="AJ79" i="1"/>
  <c r="AH79" i="1"/>
  <c r="AF79" i="1"/>
  <c r="AD79" i="1"/>
  <c r="AB79" i="1"/>
  <c r="Z79" i="1"/>
  <c r="AP78" i="1"/>
  <c r="AN78" i="1"/>
  <c r="AL78" i="1"/>
  <c r="AJ78" i="1"/>
  <c r="AH78" i="1"/>
  <c r="AF78" i="1"/>
  <c r="AD78" i="1"/>
  <c r="AB78" i="1"/>
  <c r="Z78" i="1"/>
  <c r="AP77" i="1"/>
  <c r="AN77" i="1"/>
  <c r="AL77" i="1"/>
  <c r="AJ77" i="1"/>
  <c r="AH77" i="1"/>
  <c r="AF77" i="1"/>
  <c r="AD77" i="1"/>
  <c r="AB77" i="1"/>
  <c r="Z77" i="1"/>
  <c r="AP76" i="1"/>
  <c r="AN76" i="1"/>
  <c r="AL76" i="1"/>
  <c r="AJ76" i="1"/>
  <c r="AH76" i="1"/>
  <c r="AF76" i="1"/>
  <c r="AD76" i="1"/>
  <c r="AB76" i="1"/>
  <c r="Z76" i="1"/>
  <c r="AP75" i="1"/>
  <c r="AN75" i="1"/>
  <c r="AL75" i="1"/>
  <c r="AJ75" i="1"/>
  <c r="AH75" i="1"/>
  <c r="AF75" i="1"/>
  <c r="AD75" i="1"/>
  <c r="AB75" i="1"/>
  <c r="Z75" i="1"/>
  <c r="AP74" i="1"/>
  <c r="AN74" i="1"/>
  <c r="AL74" i="1"/>
  <c r="AJ74" i="1"/>
  <c r="AH74" i="1"/>
  <c r="AF74" i="1"/>
  <c r="AD74" i="1"/>
  <c r="AB74" i="1"/>
  <c r="Z74" i="1"/>
  <c r="AP73" i="1"/>
  <c r="AN73" i="1"/>
  <c r="AL73" i="1"/>
  <c r="AJ73" i="1"/>
  <c r="AH73" i="1"/>
  <c r="AF73" i="1"/>
  <c r="AD73" i="1"/>
  <c r="AB73" i="1"/>
  <c r="Z73" i="1"/>
  <c r="AP72" i="1"/>
  <c r="AN72" i="1"/>
  <c r="AL72" i="1"/>
  <c r="AJ72" i="1"/>
  <c r="AH72" i="1"/>
  <c r="AF72" i="1"/>
  <c r="AD72" i="1"/>
  <c r="AB72" i="1"/>
  <c r="Z72" i="1"/>
  <c r="AP71" i="1"/>
  <c r="AN71" i="1"/>
  <c r="AL71" i="1"/>
  <c r="AJ71" i="1"/>
  <c r="AH71" i="1"/>
  <c r="AF71" i="1"/>
  <c r="AD71" i="1"/>
  <c r="AB71" i="1"/>
  <c r="Z71" i="1"/>
  <c r="AP70" i="1"/>
  <c r="AN70" i="1"/>
  <c r="AL70" i="1"/>
  <c r="AJ70" i="1"/>
  <c r="AH70" i="1"/>
  <c r="AF70" i="1"/>
  <c r="AD70" i="1"/>
  <c r="AB70" i="1"/>
  <c r="Z70" i="1"/>
  <c r="AP69" i="1"/>
  <c r="AN69" i="1"/>
  <c r="AL69" i="1"/>
  <c r="AJ69" i="1"/>
  <c r="AH69" i="1"/>
  <c r="AF69" i="1"/>
  <c r="AD69" i="1"/>
  <c r="AB69" i="1"/>
  <c r="Z69" i="1"/>
  <c r="AP68" i="1"/>
  <c r="AN68" i="1"/>
  <c r="AL68" i="1"/>
  <c r="AJ68" i="1"/>
  <c r="AH68" i="1"/>
  <c r="AF68" i="1"/>
  <c r="AD68" i="1"/>
  <c r="AB68" i="1"/>
  <c r="Z68" i="1"/>
  <c r="AP67" i="1"/>
  <c r="AN67" i="1"/>
  <c r="AL67" i="1"/>
  <c r="AJ67" i="1"/>
  <c r="AH67" i="1"/>
  <c r="AF67" i="1"/>
  <c r="AD67" i="1"/>
  <c r="AB67" i="1"/>
  <c r="Z67" i="1"/>
  <c r="AP66" i="1"/>
  <c r="AN66" i="1"/>
  <c r="AL66" i="1"/>
  <c r="AJ66" i="1"/>
  <c r="AH66" i="1"/>
  <c r="AF66" i="1"/>
  <c r="AD66" i="1"/>
  <c r="AB66" i="1"/>
  <c r="Z66" i="1"/>
  <c r="AP65" i="1"/>
  <c r="AN65" i="1"/>
  <c r="AL65" i="1"/>
  <c r="AJ65" i="1"/>
  <c r="AH65" i="1"/>
  <c r="AF65" i="1"/>
  <c r="AD65" i="1"/>
  <c r="AB65" i="1"/>
  <c r="Z65" i="1"/>
  <c r="AP64" i="1"/>
  <c r="AN64" i="1"/>
  <c r="AL64" i="1"/>
  <c r="AJ64" i="1"/>
  <c r="AH64" i="1"/>
  <c r="AF64" i="1"/>
  <c r="AD64" i="1"/>
  <c r="AB64" i="1"/>
  <c r="Z64" i="1"/>
  <c r="AP63" i="1"/>
  <c r="AN63" i="1"/>
  <c r="AL63" i="1"/>
  <c r="AJ63" i="1"/>
  <c r="AH63" i="1"/>
  <c r="AF63" i="1"/>
  <c r="AD63" i="1"/>
  <c r="AB63" i="1"/>
  <c r="Z63" i="1"/>
  <c r="AP62" i="1"/>
  <c r="AN62" i="1"/>
  <c r="AL62" i="1"/>
  <c r="AJ62" i="1"/>
  <c r="AH62" i="1"/>
  <c r="AF62" i="1"/>
  <c r="AD62" i="1"/>
  <c r="AB62" i="1"/>
  <c r="Z62" i="1"/>
  <c r="AP61" i="1"/>
  <c r="AN61" i="1"/>
  <c r="AL61" i="1"/>
  <c r="AJ61" i="1"/>
  <c r="AH61" i="1"/>
  <c r="AF61" i="1"/>
  <c r="AD61" i="1"/>
  <c r="AB61" i="1"/>
  <c r="Z61" i="1"/>
  <c r="AP60" i="1"/>
  <c r="AN60" i="1"/>
  <c r="AL60" i="1"/>
  <c r="AJ60" i="1"/>
  <c r="AH60" i="1"/>
  <c r="AF60" i="1"/>
  <c r="AD60" i="1"/>
  <c r="AB60" i="1"/>
  <c r="Z60" i="1"/>
  <c r="AP59" i="1"/>
  <c r="AN59" i="1"/>
  <c r="AL59" i="1"/>
  <c r="AJ59" i="1"/>
  <c r="AH59" i="1"/>
  <c r="AF59" i="1"/>
  <c r="AD59" i="1"/>
  <c r="AB59" i="1"/>
  <c r="Z59" i="1"/>
  <c r="AP58" i="1"/>
  <c r="AN58" i="1"/>
  <c r="AL58" i="1"/>
  <c r="AJ58" i="1"/>
  <c r="AH58" i="1"/>
  <c r="AF58" i="1"/>
  <c r="AD58" i="1"/>
  <c r="AB58" i="1"/>
  <c r="Z58" i="1"/>
  <c r="AP57" i="1"/>
  <c r="AN57" i="1"/>
  <c r="AL57" i="1"/>
  <c r="AJ57" i="1"/>
  <c r="AH57" i="1"/>
  <c r="AF57" i="1"/>
  <c r="AD57" i="1"/>
  <c r="AB57" i="1"/>
  <c r="Z57" i="1"/>
  <c r="AP56" i="1"/>
  <c r="AN56" i="1"/>
  <c r="AL56" i="1"/>
  <c r="AJ56" i="1"/>
  <c r="AH56" i="1"/>
  <c r="AF56" i="1"/>
  <c r="AD56" i="1"/>
  <c r="AB56" i="1"/>
  <c r="Z56" i="1"/>
  <c r="AP55" i="1"/>
  <c r="AN55" i="1"/>
  <c r="AL55" i="1"/>
  <c r="AJ55" i="1"/>
  <c r="AH55" i="1"/>
  <c r="AF55" i="1"/>
  <c r="AD55" i="1"/>
  <c r="AB55" i="1"/>
  <c r="Z55" i="1"/>
  <c r="AP54" i="1"/>
  <c r="AN54" i="1"/>
  <c r="AL54" i="1"/>
  <c r="AJ54" i="1"/>
  <c r="AH54" i="1"/>
  <c r="AF54" i="1"/>
  <c r="AD54" i="1"/>
  <c r="AB54" i="1"/>
  <c r="Z54" i="1"/>
  <c r="AP53" i="1"/>
  <c r="AN53" i="1"/>
  <c r="AL53" i="1"/>
  <c r="AJ53" i="1"/>
  <c r="AH53" i="1"/>
  <c r="AF53" i="1"/>
  <c r="AD53" i="1"/>
  <c r="AB53" i="1"/>
  <c r="Z53" i="1"/>
  <c r="AP52" i="1"/>
  <c r="AN52" i="1"/>
  <c r="AL52" i="1"/>
  <c r="AJ52" i="1"/>
  <c r="AH52" i="1"/>
  <c r="AF52" i="1"/>
  <c r="AD52" i="1"/>
  <c r="AB52" i="1"/>
  <c r="Z52" i="1"/>
  <c r="AP51" i="1"/>
  <c r="AN51" i="1"/>
  <c r="AL51" i="1"/>
  <c r="AJ51" i="1"/>
  <c r="AH51" i="1"/>
  <c r="AF51" i="1"/>
  <c r="AD51" i="1"/>
  <c r="AB51" i="1"/>
  <c r="Z51" i="1"/>
  <c r="AP50" i="1"/>
  <c r="AN50" i="1"/>
  <c r="AL50" i="1"/>
  <c r="AJ50" i="1"/>
  <c r="AH50" i="1"/>
  <c r="AF50" i="1"/>
  <c r="AD50" i="1"/>
  <c r="AB50" i="1"/>
  <c r="Z50" i="1"/>
  <c r="AP49" i="1"/>
  <c r="AN49" i="1"/>
  <c r="AL49" i="1"/>
  <c r="AJ49" i="1"/>
  <c r="AH49" i="1"/>
  <c r="AF49" i="1"/>
  <c r="AD49" i="1"/>
  <c r="AB49" i="1"/>
  <c r="Z49" i="1"/>
  <c r="AP48" i="1"/>
  <c r="AN48" i="1"/>
  <c r="AL48" i="1"/>
  <c r="AJ48" i="1"/>
  <c r="AH48" i="1"/>
  <c r="AF48" i="1"/>
  <c r="AD48" i="1"/>
  <c r="AB48" i="1"/>
  <c r="Z48" i="1"/>
  <c r="AP47" i="1"/>
  <c r="AN47" i="1"/>
  <c r="AL47" i="1"/>
  <c r="AJ47" i="1"/>
  <c r="AH47" i="1"/>
  <c r="AF47" i="1"/>
  <c r="AD47" i="1"/>
  <c r="AB47" i="1"/>
  <c r="Z47" i="1"/>
  <c r="AP46" i="1"/>
  <c r="AN46" i="1"/>
  <c r="AL46" i="1"/>
  <c r="AJ46" i="1"/>
  <c r="AH46" i="1"/>
  <c r="AF46" i="1"/>
  <c r="AD46" i="1"/>
  <c r="AB46" i="1"/>
  <c r="Z46" i="1"/>
  <c r="AP45" i="1"/>
  <c r="AN45" i="1"/>
  <c r="AL45" i="1"/>
  <c r="AJ45" i="1"/>
  <c r="AH45" i="1"/>
  <c r="AF45" i="1"/>
  <c r="AD45" i="1"/>
  <c r="AB45" i="1"/>
  <c r="Z45" i="1"/>
  <c r="AP44" i="1"/>
  <c r="AN44" i="1"/>
  <c r="AL44" i="1"/>
  <c r="AJ44" i="1"/>
  <c r="AH44" i="1"/>
  <c r="AF44" i="1"/>
  <c r="AD44" i="1"/>
  <c r="AB44" i="1"/>
  <c r="Z44" i="1"/>
  <c r="AP43" i="1"/>
  <c r="AN43" i="1"/>
  <c r="AL43" i="1"/>
  <c r="AJ43" i="1"/>
  <c r="AH43" i="1"/>
  <c r="AF43" i="1"/>
  <c r="AD43" i="1"/>
  <c r="AB43" i="1"/>
  <c r="Z43" i="1"/>
  <c r="AP42" i="1"/>
  <c r="AN42" i="1"/>
  <c r="AL42" i="1"/>
  <c r="AJ42" i="1"/>
  <c r="AH42" i="1"/>
  <c r="AF42" i="1"/>
  <c r="AD42" i="1"/>
  <c r="AB42" i="1"/>
  <c r="Z42" i="1"/>
  <c r="AP41" i="1"/>
  <c r="AN41" i="1"/>
  <c r="AL41" i="1"/>
  <c r="AJ41" i="1"/>
  <c r="AH41" i="1"/>
  <c r="AF41" i="1"/>
  <c r="AD41" i="1"/>
  <c r="AB41" i="1"/>
  <c r="Z41" i="1"/>
  <c r="AP40" i="1"/>
  <c r="AN40" i="1"/>
  <c r="AL40" i="1"/>
  <c r="AJ40" i="1"/>
  <c r="AH40" i="1"/>
  <c r="AF40" i="1"/>
  <c r="AD40" i="1"/>
  <c r="AB40" i="1"/>
  <c r="Z40" i="1"/>
  <c r="AP39" i="1"/>
  <c r="AN39" i="1"/>
  <c r="AL39" i="1"/>
  <c r="AJ39" i="1"/>
  <c r="AH39" i="1"/>
  <c r="AF39" i="1"/>
  <c r="AD39" i="1"/>
  <c r="AB39" i="1"/>
  <c r="Z39" i="1"/>
  <c r="AP38" i="1"/>
  <c r="AN38" i="1"/>
  <c r="AL38" i="1"/>
  <c r="AJ38" i="1"/>
  <c r="AH38" i="1"/>
  <c r="AF38" i="1"/>
  <c r="AD38" i="1"/>
  <c r="AB38" i="1"/>
  <c r="Z38" i="1"/>
  <c r="AP37" i="1"/>
  <c r="AN37" i="1"/>
  <c r="AL37" i="1"/>
  <c r="AJ37" i="1"/>
  <c r="AH37" i="1"/>
  <c r="AF37" i="1"/>
  <c r="AD37" i="1"/>
  <c r="AB37" i="1"/>
  <c r="Z37" i="1"/>
  <c r="AP36" i="1"/>
  <c r="AN36" i="1"/>
  <c r="AL36" i="1"/>
  <c r="AJ36" i="1"/>
  <c r="AH36" i="1"/>
  <c r="AF36" i="1"/>
  <c r="AD36" i="1"/>
  <c r="AB36" i="1"/>
  <c r="Z36" i="1"/>
  <c r="AP35" i="1"/>
  <c r="AN35" i="1"/>
  <c r="AL35" i="1"/>
  <c r="AJ35" i="1"/>
  <c r="AH35" i="1"/>
  <c r="AF35" i="1"/>
  <c r="AD35" i="1"/>
  <c r="AB35" i="1"/>
  <c r="Z35" i="1"/>
  <c r="AP34" i="1"/>
  <c r="AN34" i="1"/>
  <c r="AL34" i="1"/>
  <c r="AJ34" i="1"/>
  <c r="AH34" i="1"/>
  <c r="AF34" i="1"/>
  <c r="AD34" i="1"/>
  <c r="AB34" i="1"/>
  <c r="Z34" i="1"/>
  <c r="AP33" i="1"/>
  <c r="AN33" i="1"/>
  <c r="AL33" i="1"/>
  <c r="AJ33" i="1"/>
  <c r="AH33" i="1"/>
  <c r="AF33" i="1"/>
  <c r="AD33" i="1"/>
  <c r="AB33" i="1"/>
  <c r="Z33" i="1"/>
  <c r="AP32" i="1"/>
  <c r="AN32" i="1"/>
  <c r="AL32" i="1"/>
  <c r="AJ32" i="1"/>
  <c r="AH32" i="1"/>
  <c r="AF32" i="1"/>
  <c r="AD32" i="1"/>
  <c r="AB32" i="1"/>
  <c r="Z32" i="1"/>
  <c r="AP31" i="1"/>
  <c r="AN31" i="1"/>
  <c r="AL31" i="1"/>
  <c r="AJ31" i="1"/>
  <c r="AH31" i="1"/>
  <c r="AF31" i="1"/>
  <c r="AD31" i="1"/>
  <c r="AB31" i="1"/>
  <c r="Z31" i="1"/>
  <c r="AP30" i="1"/>
  <c r="AN30" i="1"/>
  <c r="AL30" i="1"/>
  <c r="AJ30" i="1"/>
  <c r="AH30" i="1"/>
  <c r="AF30" i="1"/>
  <c r="AD30" i="1"/>
  <c r="AB30" i="1"/>
  <c r="Z30" i="1"/>
  <c r="AP29" i="1"/>
  <c r="AN29" i="1"/>
  <c r="AL29" i="1"/>
  <c r="AJ29" i="1"/>
  <c r="AH29" i="1"/>
  <c r="AF29" i="1"/>
  <c r="AD29" i="1"/>
  <c r="AB29" i="1"/>
  <c r="Z29" i="1"/>
  <c r="AP28" i="1"/>
  <c r="AN28" i="1"/>
  <c r="AL28" i="1"/>
  <c r="AJ28" i="1"/>
  <c r="AH28" i="1"/>
  <c r="AF28" i="1"/>
  <c r="AD28" i="1"/>
  <c r="AB28" i="1"/>
  <c r="Z28" i="1"/>
  <c r="AP27" i="1"/>
  <c r="AN27" i="1"/>
  <c r="AL27" i="1"/>
  <c r="AJ27" i="1"/>
  <c r="AH27" i="1"/>
  <c r="AF27" i="1"/>
  <c r="AD27" i="1"/>
  <c r="AB27" i="1"/>
  <c r="Z27" i="1"/>
  <c r="AP26" i="1"/>
  <c r="AN26" i="1"/>
  <c r="AL26" i="1"/>
  <c r="AJ26" i="1"/>
  <c r="AH26" i="1"/>
  <c r="AF26" i="1"/>
  <c r="AD26" i="1"/>
  <c r="AB26" i="1"/>
  <c r="Z26" i="1"/>
  <c r="AP25" i="1"/>
  <c r="AN25" i="1"/>
  <c r="AL25" i="1"/>
  <c r="AJ25" i="1"/>
  <c r="AH25" i="1"/>
  <c r="AF25" i="1"/>
  <c r="AD25" i="1"/>
  <c r="AB25" i="1"/>
  <c r="Z25" i="1"/>
  <c r="AP24" i="1"/>
  <c r="AN24" i="1"/>
  <c r="AL24" i="1"/>
  <c r="AJ24" i="1"/>
  <c r="AH24" i="1"/>
  <c r="AF24" i="1"/>
  <c r="AD24" i="1"/>
  <c r="AB24" i="1"/>
  <c r="Z24" i="1"/>
  <c r="AP23" i="1"/>
  <c r="AN23" i="1"/>
  <c r="AL23" i="1"/>
  <c r="AJ23" i="1"/>
  <c r="AH23" i="1"/>
  <c r="AF23" i="1"/>
  <c r="AD23" i="1"/>
  <c r="AB23" i="1"/>
  <c r="Z23" i="1"/>
  <c r="AP22" i="1"/>
  <c r="AN22" i="1"/>
  <c r="AL22" i="1"/>
  <c r="AJ22" i="1"/>
  <c r="AH22" i="1"/>
  <c r="AF22" i="1"/>
  <c r="AD22" i="1"/>
  <c r="AB22" i="1"/>
  <c r="Z22" i="1"/>
  <c r="AP21" i="1"/>
  <c r="AN21" i="1"/>
  <c r="AL21" i="1"/>
  <c r="AJ21" i="1"/>
  <c r="AH21" i="1"/>
  <c r="AF21" i="1"/>
  <c r="AD21" i="1"/>
  <c r="AB21" i="1"/>
  <c r="Z21" i="1"/>
  <c r="AP20" i="1"/>
  <c r="AN20" i="1"/>
  <c r="AL20" i="1"/>
  <c r="AJ20" i="1"/>
  <c r="AH20" i="1"/>
  <c r="AF20" i="1"/>
  <c r="AD20" i="1"/>
  <c r="AB20" i="1"/>
  <c r="Z20" i="1"/>
  <c r="AP19" i="1"/>
  <c r="AN19" i="1"/>
  <c r="AL19" i="1"/>
  <c r="AJ19" i="1"/>
  <c r="AH19" i="1"/>
  <c r="AF19" i="1"/>
  <c r="AD19" i="1"/>
  <c r="AB19" i="1"/>
  <c r="Z19" i="1"/>
  <c r="AP18" i="1"/>
  <c r="AN18" i="1"/>
  <c r="AL18" i="1"/>
  <c r="AJ18" i="1"/>
  <c r="AH18" i="1"/>
  <c r="AF18" i="1"/>
  <c r="AD18" i="1"/>
  <c r="AB18" i="1"/>
  <c r="Z18" i="1"/>
  <c r="AP17" i="1"/>
  <c r="AN17" i="1"/>
  <c r="AL17" i="1"/>
  <c r="AJ17" i="1"/>
  <c r="AH17" i="1"/>
  <c r="AF17" i="1"/>
  <c r="AD17" i="1"/>
  <c r="AB17" i="1"/>
  <c r="Z17" i="1"/>
  <c r="AP16" i="1"/>
  <c r="AN16" i="1"/>
  <c r="AL16" i="1"/>
  <c r="AJ16" i="1"/>
  <c r="AH16" i="1"/>
  <c r="AF16" i="1"/>
  <c r="AD16" i="1"/>
  <c r="AB16" i="1"/>
  <c r="Z16" i="1"/>
  <c r="AP15" i="1"/>
  <c r="AN15" i="1"/>
  <c r="AL15" i="1"/>
  <c r="AJ15" i="1"/>
  <c r="AH15" i="1"/>
  <c r="AF15" i="1"/>
  <c r="AD15" i="1"/>
  <c r="AB15" i="1"/>
  <c r="Z15" i="1"/>
  <c r="AP14" i="1"/>
  <c r="AN14" i="1"/>
  <c r="AL14" i="1"/>
  <c r="AJ14" i="1"/>
  <c r="AH14" i="1"/>
  <c r="AF14" i="1"/>
  <c r="AD14" i="1"/>
  <c r="AB14" i="1"/>
  <c r="Z14" i="1"/>
  <c r="AP13" i="1"/>
  <c r="AN13" i="1"/>
  <c r="AL13" i="1"/>
  <c r="AJ13" i="1"/>
  <c r="AH13" i="1"/>
  <c r="AF13" i="1"/>
  <c r="AD13" i="1"/>
  <c r="AB13" i="1"/>
  <c r="Z13" i="1"/>
  <c r="AP12" i="1"/>
  <c r="AN12" i="1"/>
  <c r="AL12" i="1"/>
  <c r="AJ12" i="1"/>
  <c r="AH12" i="1"/>
  <c r="AF12" i="1"/>
  <c r="AD12" i="1"/>
  <c r="AB12" i="1"/>
  <c r="Z12" i="1"/>
  <c r="AP11" i="1"/>
  <c r="AN11" i="1"/>
  <c r="AL11" i="1"/>
  <c r="AJ11" i="1"/>
  <c r="AH11" i="1"/>
  <c r="AF11" i="1"/>
  <c r="AD11" i="1"/>
  <c r="AB11" i="1"/>
  <c r="Z11" i="1"/>
  <c r="AP10" i="1"/>
  <c r="AN10" i="1"/>
  <c r="AL10" i="1"/>
  <c r="AJ10" i="1"/>
  <c r="AH10" i="1"/>
  <c r="AF10" i="1"/>
  <c r="AD10" i="1"/>
  <c r="AB10" i="1"/>
  <c r="Z10" i="1"/>
  <c r="AP9" i="1"/>
  <c r="AN9" i="1"/>
  <c r="AL9" i="1"/>
  <c r="AJ9" i="1"/>
  <c r="AH9" i="1"/>
  <c r="AF9" i="1"/>
  <c r="AD9" i="1"/>
  <c r="AB9" i="1"/>
  <c r="Z9" i="1"/>
  <c r="AP8" i="1"/>
  <c r="AN8" i="1"/>
  <c r="AL8" i="1"/>
  <c r="AJ8" i="1"/>
  <c r="AH8" i="1"/>
  <c r="AF8" i="1"/>
  <c r="AD8" i="1"/>
  <c r="AB8" i="1"/>
  <c r="Z8" i="1"/>
  <c r="AP7" i="1"/>
  <c r="AN7" i="1"/>
  <c r="AL7" i="1"/>
  <c r="AJ7" i="1"/>
  <c r="AH7" i="1"/>
  <c r="AF7" i="1"/>
  <c r="AD7" i="1"/>
  <c r="AB7" i="1"/>
  <c r="Z7" i="1"/>
  <c r="AP6" i="1"/>
  <c r="AN6" i="1"/>
  <c r="AL6" i="1"/>
  <c r="AJ6" i="1"/>
  <c r="AH6" i="1"/>
  <c r="AF6" i="1"/>
  <c r="AD6" i="1"/>
  <c r="AB6" i="1"/>
  <c r="Z6" i="1"/>
  <c r="AP5" i="1"/>
  <c r="AN5" i="1"/>
  <c r="AL5" i="1"/>
  <c r="AJ5" i="1"/>
  <c r="AH5" i="1"/>
  <c r="AF5" i="1"/>
  <c r="AD5" i="1"/>
  <c r="AB5" i="1"/>
  <c r="Z5" i="1"/>
  <c r="AP4" i="1"/>
  <c r="AN4" i="1"/>
  <c r="AL4" i="1"/>
  <c r="AJ4" i="1"/>
  <c r="AH4" i="1"/>
  <c r="AF4" i="1"/>
  <c r="AD4" i="1"/>
  <c r="AB4" i="1"/>
  <c r="Z4" i="1"/>
  <c r="AP3" i="1"/>
  <c r="AN3" i="1"/>
  <c r="AL3" i="1"/>
  <c r="AJ3" i="1"/>
  <c r="AH3" i="1"/>
  <c r="AF3" i="1"/>
  <c r="AD3" i="1"/>
  <c r="AB3" i="1"/>
  <c r="Z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V444" i="6"/>
  <c r="V443" i="6"/>
  <c r="V442" i="6"/>
  <c r="V441" i="6"/>
  <c r="V440" i="6"/>
  <c r="V439" i="6"/>
  <c r="V438" i="6"/>
  <c r="V437" i="6"/>
  <c r="V436" i="6"/>
  <c r="V435" i="6"/>
  <c r="V434" i="6"/>
  <c r="V433" i="6"/>
  <c r="V432" i="6"/>
  <c r="V431" i="6"/>
  <c r="V430" i="6"/>
  <c r="V429" i="6"/>
  <c r="V428" i="6"/>
  <c r="V427" i="6"/>
  <c r="V426" i="6"/>
  <c r="V425" i="6"/>
  <c r="V424" i="6"/>
  <c r="V423" i="6"/>
  <c r="V422" i="6"/>
  <c r="V421" i="6"/>
  <c r="V420" i="6"/>
  <c r="V419" i="6"/>
  <c r="V418" i="6"/>
  <c r="V417" i="6"/>
  <c r="V416" i="6"/>
  <c r="V415" i="6"/>
  <c r="V414" i="6"/>
  <c r="V413" i="6"/>
  <c r="V412" i="6"/>
  <c r="V411" i="6"/>
  <c r="V410" i="6"/>
  <c r="V409" i="6"/>
  <c r="V408" i="6"/>
  <c r="V407" i="6"/>
  <c r="V406" i="6"/>
  <c r="V405" i="6"/>
  <c r="V404" i="6"/>
  <c r="V403" i="6"/>
  <c r="V402" i="6"/>
  <c r="V401" i="6"/>
  <c r="V400" i="6"/>
  <c r="V399" i="6"/>
  <c r="V398" i="6"/>
  <c r="V397" i="6"/>
  <c r="V396" i="6"/>
  <c r="V395" i="6"/>
  <c r="V394" i="6"/>
  <c r="V393" i="6"/>
  <c r="V392" i="6"/>
  <c r="V391" i="6"/>
  <c r="V390" i="6"/>
  <c r="V389" i="6"/>
  <c r="V388" i="6"/>
  <c r="V387" i="6"/>
  <c r="V386" i="6"/>
  <c r="V385" i="6"/>
  <c r="V384" i="6"/>
  <c r="V383" i="6"/>
  <c r="V382" i="6"/>
  <c r="V381" i="6"/>
  <c r="V380" i="6"/>
  <c r="V379" i="6"/>
  <c r="V378" i="6"/>
  <c r="V377" i="6"/>
  <c r="V376" i="6"/>
  <c r="V375" i="6"/>
  <c r="V374" i="6"/>
  <c r="V373" i="6"/>
  <c r="V372" i="6"/>
  <c r="V371" i="6"/>
  <c r="V370" i="6"/>
  <c r="V369" i="6"/>
  <c r="V368" i="6"/>
  <c r="V367" i="6"/>
  <c r="R367" i="6"/>
  <c r="V366" i="6"/>
  <c r="R366" i="6"/>
  <c r="V365" i="6"/>
  <c r="R365" i="6"/>
  <c r="V364" i="6"/>
  <c r="R364" i="6"/>
  <c r="V363" i="6"/>
  <c r="R363" i="6"/>
  <c r="V362" i="6"/>
  <c r="R362" i="6"/>
  <c r="V361" i="6"/>
  <c r="R361" i="6"/>
  <c r="V360" i="6"/>
  <c r="R360" i="6"/>
  <c r="V359" i="6"/>
  <c r="R359" i="6"/>
  <c r="V358" i="6"/>
  <c r="R358" i="6"/>
  <c r="V357" i="6"/>
  <c r="R357" i="6"/>
  <c r="V356" i="6"/>
  <c r="R356" i="6"/>
  <c r="V355" i="6"/>
  <c r="R355" i="6"/>
  <c r="V354" i="6"/>
  <c r="R354" i="6"/>
  <c r="V353" i="6"/>
  <c r="R353" i="6"/>
  <c r="V352" i="6"/>
  <c r="R352" i="6"/>
  <c r="V351" i="6"/>
  <c r="R351" i="6"/>
  <c r="V350" i="6"/>
  <c r="R350" i="6"/>
  <c r="V349" i="6"/>
  <c r="R349" i="6"/>
  <c r="V348" i="6"/>
  <c r="R348" i="6"/>
  <c r="V347" i="6"/>
  <c r="R347" i="6"/>
  <c r="V346" i="6"/>
  <c r="R346" i="6"/>
  <c r="V345" i="6"/>
  <c r="R345" i="6"/>
  <c r="V344" i="6"/>
  <c r="R344" i="6"/>
  <c r="V343" i="6"/>
  <c r="R343" i="6"/>
  <c r="V342" i="6"/>
  <c r="R342" i="6"/>
  <c r="V341" i="6"/>
  <c r="R341" i="6"/>
  <c r="V340" i="6"/>
  <c r="R340" i="6"/>
  <c r="V339" i="6"/>
  <c r="R339" i="6"/>
  <c r="V338" i="6"/>
  <c r="R338" i="6"/>
  <c r="V337" i="6"/>
  <c r="R337" i="6"/>
  <c r="V336" i="6"/>
  <c r="R336" i="6"/>
  <c r="P336" i="6"/>
  <c r="V335" i="6"/>
  <c r="R335" i="6"/>
  <c r="P335" i="6"/>
  <c r="V334" i="6"/>
  <c r="R334" i="6"/>
  <c r="P334" i="6"/>
  <c r="V333" i="6"/>
  <c r="R333" i="6"/>
  <c r="P333" i="6"/>
  <c r="V332" i="6"/>
  <c r="R332" i="6"/>
  <c r="P332" i="6"/>
  <c r="V331" i="6"/>
  <c r="R331" i="6"/>
  <c r="P331" i="6"/>
  <c r="V330" i="6"/>
  <c r="R330" i="6"/>
  <c r="P330" i="6"/>
  <c r="V329" i="6"/>
  <c r="R329" i="6"/>
  <c r="P329" i="6"/>
  <c r="V328" i="6"/>
  <c r="R328" i="6"/>
  <c r="P328" i="6"/>
  <c r="V327" i="6"/>
  <c r="R327" i="6"/>
  <c r="P327" i="6"/>
  <c r="V326" i="6"/>
  <c r="R326" i="6"/>
  <c r="P326" i="6"/>
  <c r="V325" i="6"/>
  <c r="R325" i="6"/>
  <c r="P325" i="6"/>
  <c r="V324" i="6"/>
  <c r="R324" i="6"/>
  <c r="P324" i="6"/>
  <c r="V323" i="6"/>
  <c r="R323" i="6"/>
  <c r="P323" i="6"/>
  <c r="V322" i="6"/>
  <c r="R322" i="6"/>
  <c r="P322" i="6"/>
  <c r="V321" i="6"/>
  <c r="R321" i="6"/>
  <c r="P321" i="6"/>
  <c r="V320" i="6"/>
  <c r="R320" i="6"/>
  <c r="P320" i="6"/>
  <c r="V319" i="6"/>
  <c r="R319" i="6"/>
  <c r="P319" i="6"/>
  <c r="V318" i="6"/>
  <c r="R318" i="6"/>
  <c r="P318" i="6"/>
  <c r="V317" i="6"/>
  <c r="R317" i="6"/>
  <c r="P317" i="6"/>
  <c r="V316" i="6"/>
  <c r="R316" i="6"/>
  <c r="P316" i="6"/>
  <c r="V315" i="6"/>
  <c r="R315" i="6"/>
  <c r="P315" i="6"/>
  <c r="V314" i="6"/>
  <c r="R314" i="6"/>
  <c r="P314" i="6"/>
  <c r="V313" i="6"/>
  <c r="R313" i="6"/>
  <c r="P313" i="6"/>
  <c r="V312" i="6"/>
  <c r="R312" i="6"/>
  <c r="P312" i="6"/>
  <c r="V311" i="6"/>
  <c r="T311" i="6"/>
  <c r="R311" i="6"/>
  <c r="P311" i="6"/>
  <c r="V310" i="6"/>
  <c r="T310" i="6"/>
  <c r="R310" i="6"/>
  <c r="P310" i="6"/>
  <c r="V309" i="6"/>
  <c r="T309" i="6"/>
  <c r="R309" i="6"/>
  <c r="P309" i="6"/>
  <c r="V308" i="6"/>
  <c r="T308" i="6"/>
  <c r="R308" i="6"/>
  <c r="P308" i="6"/>
  <c r="V307" i="6"/>
  <c r="T307" i="6"/>
  <c r="R307" i="6"/>
  <c r="P307" i="6"/>
  <c r="V306" i="6"/>
  <c r="T306" i="6"/>
  <c r="R306" i="6"/>
  <c r="P306" i="6"/>
  <c r="V305" i="6"/>
  <c r="T305" i="6"/>
  <c r="R305" i="6"/>
  <c r="P305" i="6"/>
  <c r="V304" i="6"/>
  <c r="T304" i="6"/>
  <c r="R304" i="6"/>
  <c r="P304" i="6"/>
  <c r="V303" i="6"/>
  <c r="T303" i="6"/>
  <c r="R303" i="6"/>
  <c r="P303" i="6"/>
  <c r="V302" i="6"/>
  <c r="T302" i="6"/>
  <c r="R302" i="6"/>
  <c r="P302" i="6"/>
  <c r="V301" i="6"/>
  <c r="T301" i="6"/>
  <c r="R301" i="6"/>
  <c r="P301" i="6"/>
  <c r="V300" i="6"/>
  <c r="T300" i="6"/>
  <c r="R300" i="6"/>
  <c r="P300" i="6"/>
  <c r="V299" i="6"/>
  <c r="T299" i="6"/>
  <c r="R299" i="6"/>
  <c r="P299" i="6"/>
  <c r="V298" i="6"/>
  <c r="T298" i="6"/>
  <c r="R298" i="6"/>
  <c r="P298" i="6"/>
  <c r="V297" i="6"/>
  <c r="T297" i="6"/>
  <c r="R297" i="6"/>
  <c r="P297" i="6"/>
  <c r="V296" i="6"/>
  <c r="T296" i="6"/>
  <c r="R296" i="6"/>
  <c r="P296" i="6"/>
  <c r="V295" i="6"/>
  <c r="T295" i="6"/>
  <c r="R295" i="6"/>
  <c r="P295" i="6"/>
  <c r="V294" i="6"/>
  <c r="T294" i="6"/>
  <c r="R294" i="6"/>
  <c r="P294" i="6"/>
  <c r="V293" i="6"/>
  <c r="T293" i="6"/>
  <c r="R293" i="6"/>
  <c r="P293" i="6"/>
  <c r="V292" i="6"/>
  <c r="T292" i="6"/>
  <c r="R292" i="6"/>
  <c r="P292" i="6"/>
  <c r="V291" i="6"/>
  <c r="T291" i="6"/>
  <c r="R291" i="6"/>
  <c r="P291" i="6"/>
  <c r="V290" i="6"/>
  <c r="T290" i="6"/>
  <c r="R290" i="6"/>
  <c r="P290" i="6"/>
  <c r="V289" i="6"/>
  <c r="T289" i="6"/>
  <c r="R289" i="6"/>
  <c r="P289" i="6"/>
  <c r="V288" i="6"/>
  <c r="T288" i="6"/>
  <c r="R288" i="6"/>
  <c r="P288" i="6"/>
  <c r="V287" i="6"/>
  <c r="T287" i="6"/>
  <c r="R287" i="6"/>
  <c r="P287" i="6"/>
  <c r="V286" i="6"/>
  <c r="T286" i="6"/>
  <c r="R286" i="6"/>
  <c r="P286" i="6"/>
  <c r="V285" i="6"/>
  <c r="T285" i="6"/>
  <c r="R285" i="6"/>
  <c r="P285" i="6"/>
  <c r="V284" i="6"/>
  <c r="T284" i="6"/>
  <c r="R284" i="6"/>
  <c r="P284" i="6"/>
  <c r="V283" i="6"/>
  <c r="T283" i="6"/>
  <c r="R283" i="6"/>
  <c r="P283" i="6"/>
  <c r="V282" i="6"/>
  <c r="T282" i="6"/>
  <c r="R282" i="6"/>
  <c r="P282" i="6"/>
  <c r="V281" i="6"/>
  <c r="T281" i="6"/>
  <c r="R281" i="6"/>
  <c r="P281" i="6"/>
  <c r="V280" i="6"/>
  <c r="T280" i="6"/>
  <c r="R280" i="6"/>
  <c r="P280" i="6"/>
  <c r="V279" i="6"/>
  <c r="T279" i="6"/>
  <c r="R279" i="6"/>
  <c r="P279" i="6"/>
  <c r="V278" i="6"/>
  <c r="T278" i="6"/>
  <c r="R278" i="6"/>
  <c r="P278" i="6"/>
  <c r="V277" i="6"/>
  <c r="T277" i="6"/>
  <c r="R277" i="6"/>
  <c r="P277" i="6"/>
  <c r="V276" i="6"/>
  <c r="T276" i="6"/>
  <c r="R276" i="6"/>
  <c r="P276" i="6"/>
  <c r="V275" i="6"/>
  <c r="T275" i="6"/>
  <c r="R275" i="6"/>
  <c r="P275" i="6"/>
  <c r="V274" i="6"/>
  <c r="T274" i="6"/>
  <c r="R274" i="6"/>
  <c r="P274" i="6"/>
  <c r="V273" i="6"/>
  <c r="T273" i="6"/>
  <c r="R273" i="6"/>
  <c r="P273" i="6"/>
  <c r="V272" i="6"/>
  <c r="T272" i="6"/>
  <c r="R272" i="6"/>
  <c r="P272" i="6"/>
  <c r="V271" i="6"/>
  <c r="T271" i="6"/>
  <c r="R271" i="6"/>
  <c r="P271" i="6"/>
  <c r="V270" i="6"/>
  <c r="T270" i="6"/>
  <c r="R270" i="6"/>
  <c r="P270" i="6"/>
  <c r="V269" i="6"/>
  <c r="T269" i="6"/>
  <c r="R269" i="6"/>
  <c r="P269" i="6"/>
  <c r="V268" i="6"/>
  <c r="T268" i="6"/>
  <c r="R268" i="6"/>
  <c r="P268" i="6"/>
  <c r="V267" i="6"/>
  <c r="T267" i="6"/>
  <c r="R267" i="6"/>
  <c r="P267" i="6"/>
  <c r="V266" i="6"/>
  <c r="T266" i="6"/>
  <c r="R266" i="6"/>
  <c r="P266" i="6"/>
  <c r="V265" i="6"/>
  <c r="T265" i="6"/>
  <c r="R265" i="6"/>
  <c r="P265" i="6"/>
  <c r="V264" i="6"/>
  <c r="T264" i="6"/>
  <c r="R264" i="6"/>
  <c r="P264" i="6"/>
  <c r="V263" i="6"/>
  <c r="T263" i="6"/>
  <c r="R263" i="6"/>
  <c r="P263" i="6"/>
  <c r="V262" i="6"/>
  <c r="T262" i="6"/>
  <c r="R262" i="6"/>
  <c r="P262" i="6"/>
  <c r="V261" i="6"/>
  <c r="T261" i="6"/>
  <c r="R261" i="6"/>
  <c r="P261" i="6"/>
  <c r="V260" i="6"/>
  <c r="T260" i="6"/>
  <c r="R260" i="6"/>
  <c r="P260" i="6"/>
  <c r="V259" i="6"/>
  <c r="T259" i="6"/>
  <c r="R259" i="6"/>
  <c r="P259" i="6"/>
  <c r="V258" i="6"/>
  <c r="T258" i="6"/>
  <c r="R258" i="6"/>
  <c r="P258" i="6"/>
  <c r="V257" i="6"/>
  <c r="T257" i="6"/>
  <c r="R257" i="6"/>
  <c r="P257" i="6"/>
  <c r="V256" i="6"/>
  <c r="T256" i="6"/>
  <c r="R256" i="6"/>
  <c r="P256" i="6"/>
  <c r="V255" i="6"/>
  <c r="T255" i="6"/>
  <c r="R255" i="6"/>
  <c r="P255" i="6"/>
  <c r="V254" i="6"/>
  <c r="T254" i="6"/>
  <c r="R254" i="6"/>
  <c r="P254" i="6"/>
  <c r="V253" i="6"/>
  <c r="T253" i="6"/>
  <c r="R253" i="6"/>
  <c r="P253" i="6"/>
  <c r="V252" i="6"/>
  <c r="T252" i="6"/>
  <c r="R252" i="6"/>
  <c r="P252" i="6"/>
  <c r="V251" i="6"/>
  <c r="T251" i="6"/>
  <c r="R251" i="6"/>
  <c r="P251" i="6"/>
  <c r="V250" i="6"/>
  <c r="T250" i="6"/>
  <c r="R250" i="6"/>
  <c r="P250" i="6"/>
  <c r="V249" i="6"/>
  <c r="T249" i="6"/>
  <c r="R249" i="6"/>
  <c r="P249" i="6"/>
  <c r="V248" i="6"/>
  <c r="T248" i="6"/>
  <c r="R248" i="6"/>
  <c r="P248" i="6"/>
  <c r="V247" i="6"/>
  <c r="T247" i="6"/>
  <c r="R247" i="6"/>
  <c r="P247" i="6"/>
  <c r="V246" i="6"/>
  <c r="T246" i="6"/>
  <c r="R246" i="6"/>
  <c r="P246" i="6"/>
  <c r="V245" i="6"/>
  <c r="T245" i="6"/>
  <c r="R245" i="6"/>
  <c r="P245" i="6"/>
  <c r="V244" i="6"/>
  <c r="T244" i="6"/>
  <c r="R244" i="6"/>
  <c r="P244" i="6"/>
  <c r="V243" i="6"/>
  <c r="T243" i="6"/>
  <c r="R243" i="6"/>
  <c r="P243" i="6"/>
  <c r="V242" i="6"/>
  <c r="T242" i="6"/>
  <c r="R242" i="6"/>
  <c r="P242" i="6"/>
  <c r="V241" i="6"/>
  <c r="T241" i="6"/>
  <c r="R241" i="6"/>
  <c r="P241" i="6"/>
  <c r="V240" i="6"/>
  <c r="T240" i="6"/>
  <c r="R240" i="6"/>
  <c r="P240" i="6"/>
  <c r="V239" i="6"/>
  <c r="T239" i="6"/>
  <c r="R239" i="6"/>
  <c r="P239" i="6"/>
  <c r="V238" i="6"/>
  <c r="T238" i="6"/>
  <c r="R238" i="6"/>
  <c r="P238" i="6"/>
  <c r="V237" i="6"/>
  <c r="T237" i="6"/>
  <c r="R237" i="6"/>
  <c r="P237" i="6"/>
  <c r="V236" i="6"/>
  <c r="T236" i="6"/>
  <c r="R236" i="6"/>
  <c r="P236" i="6"/>
  <c r="V235" i="6"/>
  <c r="T235" i="6"/>
  <c r="R235" i="6"/>
  <c r="P235" i="6"/>
  <c r="V234" i="6"/>
  <c r="T234" i="6"/>
  <c r="R234" i="6"/>
  <c r="P234" i="6"/>
  <c r="V233" i="6"/>
  <c r="T233" i="6"/>
  <c r="R233" i="6"/>
  <c r="P233" i="6"/>
  <c r="V232" i="6"/>
  <c r="T232" i="6"/>
  <c r="R232" i="6"/>
  <c r="P232" i="6"/>
  <c r="V231" i="6"/>
  <c r="T231" i="6"/>
  <c r="R231" i="6"/>
  <c r="P231" i="6"/>
  <c r="V230" i="6"/>
  <c r="T230" i="6"/>
  <c r="R230" i="6"/>
  <c r="P230" i="6"/>
  <c r="V229" i="6"/>
  <c r="T229" i="6"/>
  <c r="R229" i="6"/>
  <c r="P229" i="6"/>
  <c r="V228" i="6"/>
  <c r="T228" i="6"/>
  <c r="R228" i="6"/>
  <c r="P228" i="6"/>
  <c r="V227" i="6"/>
  <c r="T227" i="6"/>
  <c r="R227" i="6"/>
  <c r="P227" i="6"/>
  <c r="V226" i="6"/>
  <c r="T226" i="6"/>
  <c r="R226" i="6"/>
  <c r="P226" i="6"/>
  <c r="V225" i="6"/>
  <c r="T225" i="6"/>
  <c r="R225" i="6"/>
  <c r="P225" i="6"/>
  <c r="V224" i="6"/>
  <c r="T224" i="6"/>
  <c r="R224" i="6"/>
  <c r="P224" i="6"/>
  <c r="V223" i="6"/>
  <c r="T223" i="6"/>
  <c r="R223" i="6"/>
  <c r="P223" i="6"/>
  <c r="V222" i="6"/>
  <c r="T222" i="6"/>
  <c r="R222" i="6"/>
  <c r="P222" i="6"/>
  <c r="V221" i="6"/>
  <c r="T221" i="6"/>
  <c r="R221" i="6"/>
  <c r="P221" i="6"/>
  <c r="V220" i="6"/>
  <c r="T220" i="6"/>
  <c r="R220" i="6"/>
  <c r="P220" i="6"/>
  <c r="V219" i="6"/>
  <c r="T219" i="6"/>
  <c r="R219" i="6"/>
  <c r="P219" i="6"/>
  <c r="V218" i="6"/>
  <c r="T218" i="6"/>
  <c r="R218" i="6"/>
  <c r="P218" i="6"/>
  <c r="V217" i="6"/>
  <c r="T217" i="6"/>
  <c r="R217" i="6"/>
  <c r="P217" i="6"/>
  <c r="V216" i="6"/>
  <c r="T216" i="6"/>
  <c r="R216" i="6"/>
  <c r="P216" i="6"/>
  <c r="V215" i="6"/>
  <c r="T215" i="6"/>
  <c r="R215" i="6"/>
  <c r="P215" i="6"/>
  <c r="V214" i="6"/>
  <c r="T214" i="6"/>
  <c r="R214" i="6"/>
  <c r="P214" i="6"/>
  <c r="V213" i="6"/>
  <c r="T213" i="6"/>
  <c r="R213" i="6"/>
  <c r="P213" i="6"/>
  <c r="V212" i="6"/>
  <c r="T212" i="6"/>
  <c r="R212" i="6"/>
  <c r="P212" i="6"/>
  <c r="V211" i="6"/>
  <c r="T211" i="6"/>
  <c r="R211" i="6"/>
  <c r="P211" i="6"/>
  <c r="V210" i="6"/>
  <c r="T210" i="6"/>
  <c r="R210" i="6"/>
  <c r="P210" i="6"/>
  <c r="V209" i="6"/>
  <c r="T209" i="6"/>
  <c r="R209" i="6"/>
  <c r="P209" i="6"/>
  <c r="V208" i="6"/>
  <c r="T208" i="6"/>
  <c r="R208" i="6"/>
  <c r="P208" i="6"/>
  <c r="V207" i="6"/>
  <c r="T207" i="6"/>
  <c r="R207" i="6"/>
  <c r="P207" i="6"/>
  <c r="V206" i="6"/>
  <c r="T206" i="6"/>
  <c r="R206" i="6"/>
  <c r="P206" i="6"/>
  <c r="V205" i="6"/>
  <c r="T205" i="6"/>
  <c r="R205" i="6"/>
  <c r="P205" i="6"/>
  <c r="V204" i="6"/>
  <c r="T204" i="6"/>
  <c r="R204" i="6"/>
  <c r="P204" i="6"/>
  <c r="V203" i="6"/>
  <c r="T203" i="6"/>
  <c r="R203" i="6"/>
  <c r="P203" i="6"/>
  <c r="V202" i="6"/>
  <c r="T202" i="6"/>
  <c r="R202" i="6"/>
  <c r="P202" i="6"/>
  <c r="V201" i="6"/>
  <c r="T201" i="6"/>
  <c r="R201" i="6"/>
  <c r="P201" i="6"/>
  <c r="V200" i="6"/>
  <c r="T200" i="6"/>
  <c r="R200" i="6"/>
  <c r="P200" i="6"/>
  <c r="V199" i="6"/>
  <c r="T199" i="6"/>
  <c r="R199" i="6"/>
  <c r="P199" i="6"/>
  <c r="V198" i="6"/>
  <c r="T198" i="6"/>
  <c r="R198" i="6"/>
  <c r="P198" i="6"/>
  <c r="V197" i="6"/>
  <c r="T197" i="6"/>
  <c r="R197" i="6"/>
  <c r="P197" i="6"/>
  <c r="V196" i="6"/>
  <c r="T196" i="6"/>
  <c r="R196" i="6"/>
  <c r="P196" i="6"/>
  <c r="V195" i="6"/>
  <c r="T195" i="6"/>
  <c r="R195" i="6"/>
  <c r="P195" i="6"/>
  <c r="V194" i="6"/>
  <c r="T194" i="6"/>
  <c r="R194" i="6"/>
  <c r="P194" i="6"/>
  <c r="V193" i="6"/>
  <c r="T193" i="6"/>
  <c r="R193" i="6"/>
  <c r="P193" i="6"/>
  <c r="V192" i="6"/>
  <c r="T192" i="6"/>
  <c r="R192" i="6"/>
  <c r="P192" i="6"/>
  <c r="V191" i="6"/>
  <c r="T191" i="6"/>
  <c r="R191" i="6"/>
  <c r="P191" i="6"/>
  <c r="V190" i="6"/>
  <c r="T190" i="6"/>
  <c r="R190" i="6"/>
  <c r="P190" i="6"/>
  <c r="V189" i="6"/>
  <c r="T189" i="6"/>
  <c r="R189" i="6"/>
  <c r="P189" i="6"/>
  <c r="V188" i="6"/>
  <c r="T188" i="6"/>
  <c r="R188" i="6"/>
  <c r="P188" i="6"/>
  <c r="V187" i="6"/>
  <c r="T187" i="6"/>
  <c r="R187" i="6"/>
  <c r="P187" i="6"/>
  <c r="V186" i="6"/>
  <c r="T186" i="6"/>
  <c r="R186" i="6"/>
  <c r="P186" i="6"/>
  <c r="V185" i="6"/>
  <c r="T185" i="6"/>
  <c r="R185" i="6"/>
  <c r="P185" i="6"/>
  <c r="V184" i="6"/>
  <c r="T184" i="6"/>
  <c r="R184" i="6"/>
  <c r="P184" i="6"/>
  <c r="V183" i="6"/>
  <c r="T183" i="6"/>
  <c r="R183" i="6"/>
  <c r="P183" i="6"/>
  <c r="V182" i="6"/>
  <c r="T182" i="6"/>
  <c r="R182" i="6"/>
  <c r="P182" i="6"/>
  <c r="V181" i="6"/>
  <c r="T181" i="6"/>
  <c r="R181" i="6"/>
  <c r="P181" i="6"/>
  <c r="V180" i="6"/>
  <c r="T180" i="6"/>
  <c r="R180" i="6"/>
  <c r="P180" i="6"/>
  <c r="V179" i="6"/>
  <c r="T179" i="6"/>
  <c r="R179" i="6"/>
  <c r="P179" i="6"/>
  <c r="V178" i="6"/>
  <c r="T178" i="6"/>
  <c r="R178" i="6"/>
  <c r="P178" i="6"/>
  <c r="V177" i="6"/>
  <c r="T177" i="6"/>
  <c r="R177" i="6"/>
  <c r="P177" i="6"/>
  <c r="V176" i="6"/>
  <c r="T176" i="6"/>
  <c r="R176" i="6"/>
  <c r="P176" i="6"/>
  <c r="V175" i="6"/>
  <c r="T175" i="6"/>
  <c r="R175" i="6"/>
  <c r="P175" i="6"/>
  <c r="V174" i="6"/>
  <c r="T174" i="6"/>
  <c r="R174" i="6"/>
  <c r="P174" i="6"/>
  <c r="V173" i="6"/>
  <c r="T173" i="6"/>
  <c r="R173" i="6"/>
  <c r="P173" i="6"/>
  <c r="V172" i="6"/>
  <c r="T172" i="6"/>
  <c r="R172" i="6"/>
  <c r="P172" i="6"/>
  <c r="V171" i="6"/>
  <c r="T171" i="6"/>
  <c r="R171" i="6"/>
  <c r="P171" i="6"/>
  <c r="V170" i="6"/>
  <c r="T170" i="6"/>
  <c r="R170" i="6"/>
  <c r="P170" i="6"/>
  <c r="V169" i="6"/>
  <c r="T169" i="6"/>
  <c r="R169" i="6"/>
  <c r="P169" i="6"/>
  <c r="V168" i="6"/>
  <c r="T168" i="6"/>
  <c r="R168" i="6"/>
  <c r="P168" i="6"/>
  <c r="V167" i="6"/>
  <c r="T167" i="6"/>
  <c r="R167" i="6"/>
  <c r="P167" i="6"/>
  <c r="V166" i="6"/>
  <c r="T166" i="6"/>
  <c r="R166" i="6"/>
  <c r="P166" i="6"/>
  <c r="V165" i="6"/>
  <c r="T165" i="6"/>
  <c r="R165" i="6"/>
  <c r="P165" i="6"/>
  <c r="V164" i="6"/>
  <c r="T164" i="6"/>
  <c r="R164" i="6"/>
  <c r="P164" i="6"/>
  <c r="V163" i="6"/>
  <c r="T163" i="6"/>
  <c r="R163" i="6"/>
  <c r="P163" i="6"/>
  <c r="V162" i="6"/>
  <c r="T162" i="6"/>
  <c r="R162" i="6"/>
  <c r="P162" i="6"/>
  <c r="V161" i="6"/>
  <c r="T161" i="6"/>
  <c r="R161" i="6"/>
  <c r="P161" i="6"/>
  <c r="V160" i="6"/>
  <c r="T160" i="6"/>
  <c r="R160" i="6"/>
  <c r="P160" i="6"/>
  <c r="V159" i="6"/>
  <c r="T159" i="6"/>
  <c r="R159" i="6"/>
  <c r="P159" i="6"/>
  <c r="V158" i="6"/>
  <c r="T158" i="6"/>
  <c r="R158" i="6"/>
  <c r="P158" i="6"/>
  <c r="V157" i="6"/>
  <c r="T157" i="6"/>
  <c r="R157" i="6"/>
  <c r="P157" i="6"/>
  <c r="V156" i="6"/>
  <c r="T156" i="6"/>
  <c r="R156" i="6"/>
  <c r="P156" i="6"/>
  <c r="V155" i="6"/>
  <c r="T155" i="6"/>
  <c r="R155" i="6"/>
  <c r="P155" i="6"/>
  <c r="V154" i="6"/>
  <c r="T154" i="6"/>
  <c r="R154" i="6"/>
  <c r="P154" i="6"/>
  <c r="V153" i="6"/>
  <c r="T153" i="6"/>
  <c r="R153" i="6"/>
  <c r="P153" i="6"/>
  <c r="V152" i="6"/>
  <c r="T152" i="6"/>
  <c r="R152" i="6"/>
  <c r="P152" i="6"/>
  <c r="V151" i="6"/>
  <c r="T151" i="6"/>
  <c r="R151" i="6"/>
  <c r="P151" i="6"/>
  <c r="V150" i="6"/>
  <c r="T150" i="6"/>
  <c r="R150" i="6"/>
  <c r="P150" i="6"/>
  <c r="V149" i="6"/>
  <c r="T149" i="6"/>
  <c r="R149" i="6"/>
  <c r="P149" i="6"/>
  <c r="V148" i="6"/>
  <c r="T148" i="6"/>
  <c r="R148" i="6"/>
  <c r="P148" i="6"/>
  <c r="V147" i="6"/>
  <c r="T147" i="6"/>
  <c r="R147" i="6"/>
  <c r="P147" i="6"/>
  <c r="V146" i="6"/>
  <c r="T146" i="6"/>
  <c r="R146" i="6"/>
  <c r="P146" i="6"/>
  <c r="V145" i="6"/>
  <c r="T145" i="6"/>
  <c r="R145" i="6"/>
  <c r="P145" i="6"/>
  <c r="V144" i="6"/>
  <c r="T144" i="6"/>
  <c r="R144" i="6"/>
  <c r="P144" i="6"/>
  <c r="V143" i="6"/>
  <c r="T143" i="6"/>
  <c r="R143" i="6"/>
  <c r="P143" i="6"/>
  <c r="V142" i="6"/>
  <c r="T142" i="6"/>
  <c r="R142" i="6"/>
  <c r="P142" i="6"/>
  <c r="V141" i="6"/>
  <c r="T141" i="6"/>
  <c r="R141" i="6"/>
  <c r="P141" i="6"/>
  <c r="V140" i="6"/>
  <c r="T140" i="6"/>
  <c r="R140" i="6"/>
  <c r="P140" i="6"/>
  <c r="V139" i="6"/>
  <c r="T139" i="6"/>
  <c r="R139" i="6"/>
  <c r="P139" i="6"/>
  <c r="V138" i="6"/>
  <c r="T138" i="6"/>
  <c r="R138" i="6"/>
  <c r="P138" i="6"/>
  <c r="V137" i="6"/>
  <c r="T137" i="6"/>
  <c r="R137" i="6"/>
  <c r="P137" i="6"/>
  <c r="V136" i="6"/>
  <c r="T136" i="6"/>
  <c r="R136" i="6"/>
  <c r="P136" i="6"/>
  <c r="V135" i="6"/>
  <c r="T135" i="6"/>
  <c r="R135" i="6"/>
  <c r="P135" i="6"/>
  <c r="V134" i="6"/>
  <c r="T134" i="6"/>
  <c r="R134" i="6"/>
  <c r="P134" i="6"/>
  <c r="V133" i="6"/>
  <c r="T133" i="6"/>
  <c r="R133" i="6"/>
  <c r="P133" i="6"/>
  <c r="V132" i="6"/>
  <c r="T132" i="6"/>
  <c r="R132" i="6"/>
  <c r="P132" i="6"/>
  <c r="V131" i="6"/>
  <c r="T131" i="6"/>
  <c r="R131" i="6"/>
  <c r="P131" i="6"/>
  <c r="V130" i="6"/>
  <c r="T130" i="6"/>
  <c r="R130" i="6"/>
  <c r="P130" i="6"/>
  <c r="V129" i="6"/>
  <c r="T129" i="6"/>
  <c r="R129" i="6"/>
  <c r="P129" i="6"/>
  <c r="V128" i="6"/>
  <c r="T128" i="6"/>
  <c r="R128" i="6"/>
  <c r="P128" i="6"/>
  <c r="V127" i="6"/>
  <c r="T127" i="6"/>
  <c r="R127" i="6"/>
  <c r="P127" i="6"/>
  <c r="V126" i="6"/>
  <c r="T126" i="6"/>
  <c r="R126" i="6"/>
  <c r="P126" i="6"/>
  <c r="V125" i="6"/>
  <c r="T125" i="6"/>
  <c r="R125" i="6"/>
  <c r="P125" i="6"/>
  <c r="V124" i="6"/>
  <c r="T124" i="6"/>
  <c r="R124" i="6"/>
  <c r="P124" i="6"/>
  <c r="V123" i="6"/>
  <c r="T123" i="6"/>
  <c r="R123" i="6"/>
  <c r="P123" i="6"/>
  <c r="V122" i="6"/>
  <c r="T122" i="6"/>
  <c r="R122" i="6"/>
  <c r="P122" i="6"/>
  <c r="V121" i="6"/>
  <c r="T121" i="6"/>
  <c r="R121" i="6"/>
  <c r="P121" i="6"/>
  <c r="V120" i="6"/>
  <c r="T120" i="6"/>
  <c r="R120" i="6"/>
  <c r="P120" i="6"/>
  <c r="V119" i="6"/>
  <c r="T119" i="6"/>
  <c r="R119" i="6"/>
  <c r="P119" i="6"/>
  <c r="V118" i="6"/>
  <c r="T118" i="6"/>
  <c r="R118" i="6"/>
  <c r="P118" i="6"/>
  <c r="V117" i="6"/>
  <c r="T117" i="6"/>
  <c r="R117" i="6"/>
  <c r="P117" i="6"/>
  <c r="V116" i="6"/>
  <c r="T116" i="6"/>
  <c r="R116" i="6"/>
  <c r="P116" i="6"/>
  <c r="V115" i="6"/>
  <c r="T115" i="6"/>
  <c r="R115" i="6"/>
  <c r="P115" i="6"/>
  <c r="V114" i="6"/>
  <c r="T114" i="6"/>
  <c r="R114" i="6"/>
  <c r="P114" i="6"/>
  <c r="V113" i="6"/>
  <c r="T113" i="6"/>
  <c r="R113" i="6"/>
  <c r="P113" i="6"/>
  <c r="V112" i="6"/>
  <c r="T112" i="6"/>
  <c r="R112" i="6"/>
  <c r="P112" i="6"/>
  <c r="V111" i="6"/>
  <c r="T111" i="6"/>
  <c r="R111" i="6"/>
  <c r="P111" i="6"/>
  <c r="V110" i="6"/>
  <c r="T110" i="6"/>
  <c r="R110" i="6"/>
  <c r="P110" i="6"/>
  <c r="V109" i="6"/>
  <c r="T109" i="6"/>
  <c r="R109" i="6"/>
  <c r="P109" i="6"/>
  <c r="V108" i="6"/>
  <c r="T108" i="6"/>
  <c r="R108" i="6"/>
  <c r="P108" i="6"/>
  <c r="V107" i="6"/>
  <c r="T107" i="6"/>
  <c r="R107" i="6"/>
  <c r="P107" i="6"/>
  <c r="V106" i="6"/>
  <c r="T106" i="6"/>
  <c r="R106" i="6"/>
  <c r="P106" i="6"/>
  <c r="V105" i="6"/>
  <c r="T105" i="6"/>
  <c r="R105" i="6"/>
  <c r="P105" i="6"/>
  <c r="V104" i="6"/>
  <c r="T104" i="6"/>
  <c r="R104" i="6"/>
  <c r="P104" i="6"/>
  <c r="V103" i="6"/>
  <c r="T103" i="6"/>
  <c r="R103" i="6"/>
  <c r="P103" i="6"/>
  <c r="V102" i="6"/>
  <c r="T102" i="6"/>
  <c r="R102" i="6"/>
  <c r="P102" i="6"/>
  <c r="V101" i="6"/>
  <c r="T101" i="6"/>
  <c r="R101" i="6"/>
  <c r="P101" i="6"/>
  <c r="V100" i="6"/>
  <c r="T100" i="6"/>
  <c r="R100" i="6"/>
  <c r="P100" i="6"/>
  <c r="V99" i="6"/>
  <c r="T99" i="6"/>
  <c r="R99" i="6"/>
  <c r="P99" i="6"/>
  <c r="V98" i="6"/>
  <c r="T98" i="6"/>
  <c r="R98" i="6"/>
  <c r="P98" i="6"/>
  <c r="V97" i="6"/>
  <c r="T97" i="6"/>
  <c r="R97" i="6"/>
  <c r="P97" i="6"/>
  <c r="V96" i="6"/>
  <c r="T96" i="6"/>
  <c r="R96" i="6"/>
  <c r="P96" i="6"/>
  <c r="V95" i="6"/>
  <c r="T95" i="6"/>
  <c r="R95" i="6"/>
  <c r="P95" i="6"/>
  <c r="V94" i="6"/>
  <c r="T94" i="6"/>
  <c r="R94" i="6"/>
  <c r="P94" i="6"/>
  <c r="V93" i="6"/>
  <c r="T93" i="6"/>
  <c r="R93" i="6"/>
  <c r="P93" i="6"/>
  <c r="V92" i="6"/>
  <c r="T92" i="6"/>
  <c r="R92" i="6"/>
  <c r="P92" i="6"/>
  <c r="V91" i="6"/>
  <c r="T91" i="6"/>
  <c r="R91" i="6"/>
  <c r="P91" i="6"/>
  <c r="V90" i="6"/>
  <c r="T90" i="6"/>
  <c r="R90" i="6"/>
  <c r="P90" i="6"/>
  <c r="V89" i="6"/>
  <c r="T89" i="6"/>
  <c r="R89" i="6"/>
  <c r="P89" i="6"/>
  <c r="V88" i="6"/>
  <c r="T88" i="6"/>
  <c r="R88" i="6"/>
  <c r="P88" i="6"/>
  <c r="V87" i="6"/>
  <c r="T87" i="6"/>
  <c r="R87" i="6"/>
  <c r="P87" i="6"/>
  <c r="V86" i="6"/>
  <c r="T86" i="6"/>
  <c r="R86" i="6"/>
  <c r="P86" i="6"/>
  <c r="V85" i="6"/>
  <c r="T85" i="6"/>
  <c r="R85" i="6"/>
  <c r="P85" i="6"/>
  <c r="V84" i="6"/>
  <c r="T84" i="6"/>
  <c r="R84" i="6"/>
  <c r="P84" i="6"/>
  <c r="V83" i="6"/>
  <c r="T83" i="6"/>
  <c r="R83" i="6"/>
  <c r="P83" i="6"/>
  <c r="V82" i="6"/>
  <c r="T82" i="6"/>
  <c r="R82" i="6"/>
  <c r="P82" i="6"/>
  <c r="V81" i="6"/>
  <c r="T81" i="6"/>
  <c r="R81" i="6"/>
  <c r="P81" i="6"/>
  <c r="V80" i="6"/>
  <c r="T80" i="6"/>
  <c r="R80" i="6"/>
  <c r="P80" i="6"/>
  <c r="V79" i="6"/>
  <c r="T79" i="6"/>
  <c r="R79" i="6"/>
  <c r="P79" i="6"/>
  <c r="V78" i="6"/>
  <c r="T78" i="6"/>
  <c r="R78" i="6"/>
  <c r="P78" i="6"/>
  <c r="V77" i="6"/>
  <c r="T77" i="6"/>
  <c r="R77" i="6"/>
  <c r="P77" i="6"/>
  <c r="V76" i="6"/>
  <c r="T76" i="6"/>
  <c r="R76" i="6"/>
  <c r="P76" i="6"/>
  <c r="V75" i="6"/>
  <c r="T75" i="6"/>
  <c r="R75" i="6"/>
  <c r="P75" i="6"/>
  <c r="V74" i="6"/>
  <c r="T74" i="6"/>
  <c r="R74" i="6"/>
  <c r="P74" i="6"/>
  <c r="V73" i="6"/>
  <c r="T73" i="6"/>
  <c r="R73" i="6"/>
  <c r="P73" i="6"/>
  <c r="V72" i="6"/>
  <c r="T72" i="6"/>
  <c r="R72" i="6"/>
  <c r="P72" i="6"/>
  <c r="V71" i="6"/>
  <c r="T71" i="6"/>
  <c r="R71" i="6"/>
  <c r="P71" i="6"/>
  <c r="V70" i="6"/>
  <c r="T70" i="6"/>
  <c r="R70" i="6"/>
  <c r="P70" i="6"/>
  <c r="V69" i="6"/>
  <c r="T69" i="6"/>
  <c r="R69" i="6"/>
  <c r="P69" i="6"/>
  <c r="V68" i="6"/>
  <c r="T68" i="6"/>
  <c r="R68" i="6"/>
  <c r="P68" i="6"/>
  <c r="V67" i="6"/>
  <c r="T67" i="6"/>
  <c r="R67" i="6"/>
  <c r="P67" i="6"/>
  <c r="V66" i="6"/>
  <c r="T66" i="6"/>
  <c r="R66" i="6"/>
  <c r="P66" i="6"/>
  <c r="V65" i="6"/>
  <c r="T65" i="6"/>
  <c r="R65" i="6"/>
  <c r="P65" i="6"/>
  <c r="V64" i="6"/>
  <c r="T64" i="6"/>
  <c r="R64" i="6"/>
  <c r="P64" i="6"/>
  <c r="V63" i="6"/>
  <c r="T63" i="6"/>
  <c r="R63" i="6"/>
  <c r="P63" i="6"/>
  <c r="V62" i="6"/>
  <c r="T62" i="6"/>
  <c r="R62" i="6"/>
  <c r="P62" i="6"/>
  <c r="V61" i="6"/>
  <c r="T61" i="6"/>
  <c r="R61" i="6"/>
  <c r="P61" i="6"/>
  <c r="V60" i="6"/>
  <c r="T60" i="6"/>
  <c r="R60" i="6"/>
  <c r="P60" i="6"/>
  <c r="V59" i="6"/>
  <c r="T59" i="6"/>
  <c r="R59" i="6"/>
  <c r="P59" i="6"/>
  <c r="V58" i="6"/>
  <c r="T58" i="6"/>
  <c r="R58" i="6"/>
  <c r="P58" i="6"/>
  <c r="V57" i="6"/>
  <c r="T57" i="6"/>
  <c r="R57" i="6"/>
  <c r="P57" i="6"/>
  <c r="V56" i="6"/>
  <c r="T56" i="6"/>
  <c r="R56" i="6"/>
  <c r="P56" i="6"/>
  <c r="V55" i="6"/>
  <c r="T55" i="6"/>
  <c r="R55" i="6"/>
  <c r="P55" i="6"/>
  <c r="V54" i="6"/>
  <c r="T54" i="6"/>
  <c r="R54" i="6"/>
  <c r="P54" i="6"/>
  <c r="V53" i="6"/>
  <c r="T53" i="6"/>
  <c r="R53" i="6"/>
  <c r="P53" i="6"/>
  <c r="V52" i="6"/>
  <c r="T52" i="6"/>
  <c r="R52" i="6"/>
  <c r="P52" i="6"/>
  <c r="V51" i="6"/>
  <c r="T51" i="6"/>
  <c r="R51" i="6"/>
  <c r="P51" i="6"/>
  <c r="V50" i="6"/>
  <c r="T50" i="6"/>
  <c r="R50" i="6"/>
  <c r="P50" i="6"/>
  <c r="V49" i="6"/>
  <c r="T49" i="6"/>
  <c r="R49" i="6"/>
  <c r="P49" i="6"/>
  <c r="V48" i="6"/>
  <c r="T48" i="6"/>
  <c r="R48" i="6"/>
  <c r="P48" i="6"/>
  <c r="V47" i="6"/>
  <c r="T47" i="6"/>
  <c r="R47" i="6"/>
  <c r="P47" i="6"/>
  <c r="V46" i="6"/>
  <c r="T46" i="6"/>
  <c r="R46" i="6"/>
  <c r="P46" i="6"/>
  <c r="V45" i="6"/>
  <c r="T45" i="6"/>
  <c r="R45" i="6"/>
  <c r="P45" i="6"/>
  <c r="V44" i="6"/>
  <c r="T44" i="6"/>
  <c r="R44" i="6"/>
  <c r="P44" i="6"/>
  <c r="V43" i="6"/>
  <c r="T43" i="6"/>
  <c r="R43" i="6"/>
  <c r="P43" i="6"/>
  <c r="V42" i="6"/>
  <c r="T42" i="6"/>
  <c r="R42" i="6"/>
  <c r="P42" i="6"/>
  <c r="V41" i="6"/>
  <c r="T41" i="6"/>
  <c r="R41" i="6"/>
  <c r="P41" i="6"/>
  <c r="V40" i="6"/>
  <c r="T40" i="6"/>
  <c r="R40" i="6"/>
  <c r="P40" i="6"/>
  <c r="V39" i="6"/>
  <c r="T39" i="6"/>
  <c r="R39" i="6"/>
  <c r="P39" i="6"/>
  <c r="V38" i="6"/>
  <c r="T38" i="6"/>
  <c r="R38" i="6"/>
  <c r="P38" i="6"/>
  <c r="V37" i="6"/>
  <c r="T37" i="6"/>
  <c r="R37" i="6"/>
  <c r="P37" i="6"/>
  <c r="V36" i="6"/>
  <c r="T36" i="6"/>
  <c r="R36" i="6"/>
  <c r="P36" i="6"/>
  <c r="V35" i="6"/>
  <c r="T35" i="6"/>
  <c r="R35" i="6"/>
  <c r="P35" i="6"/>
  <c r="V34" i="6"/>
  <c r="T34" i="6"/>
  <c r="R34" i="6"/>
  <c r="P34" i="6"/>
  <c r="V33" i="6"/>
  <c r="T33" i="6"/>
  <c r="R33" i="6"/>
  <c r="P33" i="6"/>
  <c r="V32" i="6"/>
  <c r="T32" i="6"/>
  <c r="R32" i="6"/>
  <c r="P32" i="6"/>
  <c r="V31" i="6"/>
  <c r="T31" i="6"/>
  <c r="R31" i="6"/>
  <c r="P31" i="6"/>
  <c r="V30" i="6"/>
  <c r="T30" i="6"/>
  <c r="R30" i="6"/>
  <c r="P30" i="6"/>
  <c r="V29" i="6"/>
  <c r="T29" i="6"/>
  <c r="R29" i="6"/>
  <c r="P29" i="6"/>
  <c r="V28" i="6"/>
  <c r="T28" i="6"/>
  <c r="R28" i="6"/>
  <c r="P28" i="6"/>
  <c r="V27" i="6"/>
  <c r="T27" i="6"/>
  <c r="R27" i="6"/>
  <c r="P27" i="6"/>
  <c r="V26" i="6"/>
  <c r="T26" i="6"/>
  <c r="R26" i="6"/>
  <c r="P26" i="6"/>
  <c r="V25" i="6"/>
  <c r="T25" i="6"/>
  <c r="R25" i="6"/>
  <c r="P25" i="6"/>
  <c r="V24" i="6"/>
  <c r="T24" i="6"/>
  <c r="R24" i="6"/>
  <c r="P24" i="6"/>
  <c r="V23" i="6"/>
  <c r="T23" i="6"/>
  <c r="R23" i="6"/>
  <c r="P23" i="6"/>
  <c r="V22" i="6"/>
  <c r="T22" i="6"/>
  <c r="R22" i="6"/>
  <c r="P22" i="6"/>
  <c r="V21" i="6"/>
  <c r="T21" i="6"/>
  <c r="R21" i="6"/>
  <c r="P21" i="6"/>
  <c r="V20" i="6"/>
  <c r="T20" i="6"/>
  <c r="R20" i="6"/>
  <c r="P20" i="6"/>
  <c r="V19" i="6"/>
  <c r="T19" i="6"/>
  <c r="R19" i="6"/>
  <c r="P19" i="6"/>
  <c r="V18" i="6"/>
  <c r="T18" i="6"/>
  <c r="R18" i="6"/>
  <c r="P18" i="6"/>
  <c r="V17" i="6"/>
  <c r="T17" i="6"/>
  <c r="R17" i="6"/>
  <c r="P17" i="6"/>
  <c r="V16" i="6"/>
  <c r="T16" i="6"/>
  <c r="R16" i="6"/>
  <c r="P16" i="6"/>
  <c r="V15" i="6"/>
  <c r="T15" i="6"/>
  <c r="R15" i="6"/>
  <c r="P15" i="6"/>
  <c r="V14" i="6"/>
  <c r="T14" i="6"/>
  <c r="R14" i="6"/>
  <c r="P14" i="6"/>
  <c r="V13" i="6"/>
  <c r="T13" i="6"/>
  <c r="R13" i="6"/>
  <c r="P13" i="6"/>
  <c r="V12" i="6"/>
  <c r="T12" i="6"/>
  <c r="R12" i="6"/>
  <c r="P12" i="6"/>
  <c r="V11" i="6"/>
  <c r="T11" i="6"/>
  <c r="R11" i="6"/>
  <c r="P11" i="6"/>
  <c r="V10" i="6"/>
  <c r="T10" i="6"/>
  <c r="R10" i="6"/>
  <c r="P10" i="6"/>
  <c r="V9" i="6"/>
  <c r="T9" i="6"/>
  <c r="R9" i="6"/>
  <c r="P9" i="6"/>
  <c r="V8" i="6"/>
  <c r="T8" i="6"/>
  <c r="R8" i="6"/>
  <c r="P8" i="6"/>
  <c r="B8" i="6"/>
  <c r="V7" i="6"/>
  <c r="T7" i="6"/>
  <c r="R7" i="6"/>
  <c r="P7" i="6"/>
  <c r="B7" i="6"/>
  <c r="V6" i="6"/>
  <c r="T6" i="6"/>
  <c r="R6" i="6"/>
  <c r="P6" i="6"/>
  <c r="B6" i="6"/>
  <c r="V5" i="6"/>
  <c r="T5" i="6"/>
  <c r="R5" i="6"/>
  <c r="P5" i="6"/>
  <c r="B5" i="6"/>
  <c r="B9" i="6" s="1"/>
  <c r="V4" i="6"/>
  <c r="T4" i="6"/>
  <c r="R4" i="6"/>
  <c r="P4" i="6"/>
  <c r="V3" i="6"/>
  <c r="T3" i="6"/>
  <c r="R3" i="6"/>
  <c r="P3" i="6"/>
  <c r="N3" i="6"/>
  <c r="C8" i="6" s="1"/>
  <c r="D8" i="6" s="1"/>
  <c r="L3" i="6"/>
  <c r="C7" i="6" s="1"/>
  <c r="D7" i="6" s="1"/>
  <c r="J3" i="6"/>
  <c r="C6" i="6" s="1"/>
  <c r="D6" i="6" s="1"/>
  <c r="H3" i="6"/>
  <c r="C5" i="6" s="1"/>
  <c r="D5" i="6" s="1"/>
  <c r="CP2" i="6"/>
  <c r="BB237" i="5"/>
  <c r="BB236" i="5"/>
  <c r="BB235" i="5"/>
  <c r="BB234" i="5"/>
  <c r="BB233" i="5"/>
  <c r="BB232" i="5"/>
  <c r="BB231" i="5"/>
  <c r="BB230" i="5"/>
  <c r="BB229" i="5"/>
  <c r="BB228" i="5"/>
  <c r="BB227" i="5"/>
  <c r="BB226" i="5"/>
  <c r="BB225" i="5"/>
  <c r="BB224" i="5"/>
  <c r="BB223" i="5"/>
  <c r="BB222" i="5"/>
  <c r="BB221" i="5"/>
  <c r="BB220" i="5"/>
  <c r="BB219" i="5"/>
  <c r="BB218" i="5"/>
  <c r="BB217" i="5"/>
  <c r="BB216" i="5"/>
  <c r="BB215" i="5"/>
  <c r="BB214" i="5"/>
  <c r="BB213" i="5"/>
  <c r="BB212" i="5"/>
  <c r="BB211" i="5"/>
  <c r="BB210" i="5"/>
  <c r="BB209" i="5"/>
  <c r="BB208" i="5"/>
  <c r="BB207" i="5"/>
  <c r="BB206" i="5"/>
  <c r="BB205" i="5"/>
  <c r="BB204" i="5"/>
  <c r="BB203" i="5"/>
  <c r="BB202" i="5"/>
  <c r="BB201" i="5"/>
  <c r="BB200" i="5"/>
  <c r="BB199" i="5"/>
  <c r="BB198" i="5"/>
  <c r="BB197" i="5"/>
  <c r="BB196" i="5"/>
  <c r="BB195" i="5"/>
  <c r="BB194" i="5"/>
  <c r="BB193" i="5"/>
  <c r="BB192" i="5"/>
  <c r="BB191" i="5"/>
  <c r="BB190" i="5"/>
  <c r="BB189" i="5"/>
  <c r="BB188" i="5"/>
  <c r="BB187" i="5"/>
  <c r="BB186" i="5"/>
  <c r="BB185" i="5"/>
  <c r="BB184" i="5"/>
  <c r="BB183" i="5"/>
  <c r="BB182" i="5"/>
  <c r="BB181" i="5"/>
  <c r="BB180" i="5"/>
  <c r="BB179" i="5"/>
  <c r="BB178" i="5"/>
  <c r="BB177" i="5"/>
  <c r="BB176" i="5"/>
  <c r="BB175" i="5"/>
  <c r="BB174" i="5"/>
  <c r="BB173" i="5"/>
  <c r="BB172" i="5"/>
  <c r="BB171" i="5"/>
  <c r="BB170" i="5"/>
  <c r="BB169" i="5"/>
  <c r="BB168" i="5"/>
  <c r="BB167" i="5"/>
  <c r="BB166" i="5"/>
  <c r="BB165" i="5"/>
  <c r="BB164" i="5"/>
  <c r="BB163" i="5"/>
  <c r="BB162" i="5"/>
  <c r="BB161" i="5"/>
  <c r="BB160" i="5"/>
  <c r="BB159" i="5"/>
  <c r="BB158" i="5"/>
  <c r="BB157" i="5"/>
  <c r="BB156" i="5"/>
  <c r="BB155" i="5"/>
  <c r="BB154" i="5"/>
  <c r="BB153" i="5"/>
  <c r="BB152" i="5"/>
  <c r="BB151" i="5"/>
  <c r="BB150" i="5"/>
  <c r="BB149" i="5"/>
  <c r="BB148" i="5"/>
  <c r="BB147" i="5"/>
  <c r="BB146" i="5"/>
  <c r="AT146" i="5"/>
  <c r="BB145" i="5"/>
  <c r="AT145" i="5"/>
  <c r="BB144" i="5"/>
  <c r="AX144" i="5"/>
  <c r="AT144" i="5"/>
  <c r="BB143" i="5"/>
  <c r="AX143" i="5"/>
  <c r="AT143" i="5"/>
  <c r="BB142" i="5"/>
  <c r="AX142" i="5"/>
  <c r="AT142" i="5"/>
  <c r="BB141" i="5"/>
  <c r="AX141" i="5"/>
  <c r="AV141" i="5"/>
  <c r="AT141" i="5"/>
  <c r="BB140" i="5"/>
  <c r="AX140" i="5"/>
  <c r="AV140" i="5"/>
  <c r="AT140" i="5"/>
  <c r="BB139" i="5"/>
  <c r="AX139" i="5"/>
  <c r="AV139" i="5"/>
  <c r="AT139" i="5"/>
  <c r="BB138" i="5"/>
  <c r="AX138" i="5"/>
  <c r="AV138" i="5"/>
  <c r="AT138" i="5"/>
  <c r="BB137" i="5"/>
  <c r="AX137" i="5"/>
  <c r="AV137" i="5"/>
  <c r="AT137" i="5"/>
  <c r="BB136" i="5"/>
  <c r="AX136" i="5"/>
  <c r="AV136" i="5"/>
  <c r="AT136" i="5"/>
  <c r="BB135" i="5"/>
  <c r="AX135" i="5"/>
  <c r="AV135" i="5"/>
  <c r="AT135" i="5"/>
  <c r="BB134" i="5"/>
  <c r="AX134" i="5"/>
  <c r="AV134" i="5"/>
  <c r="AT134" i="5"/>
  <c r="BB133" i="5"/>
  <c r="AX133" i="5"/>
  <c r="AV133" i="5"/>
  <c r="AT133" i="5"/>
  <c r="BB132" i="5"/>
  <c r="AX132" i="5"/>
  <c r="AV132" i="5"/>
  <c r="AT132" i="5"/>
  <c r="AR132" i="5"/>
  <c r="BB131" i="5"/>
  <c r="AX131" i="5"/>
  <c r="AV131" i="5"/>
  <c r="AT131" i="5"/>
  <c r="AR131" i="5"/>
  <c r="BB130" i="5"/>
  <c r="AX130" i="5"/>
  <c r="AV130" i="5"/>
  <c r="AT130" i="5"/>
  <c r="AR130" i="5"/>
  <c r="BB129" i="5"/>
  <c r="AZ129" i="5"/>
  <c r="AX129" i="5"/>
  <c r="AV129" i="5"/>
  <c r="AT129" i="5"/>
  <c r="AR129" i="5"/>
  <c r="BB128" i="5"/>
  <c r="AZ128" i="5"/>
  <c r="AX128" i="5"/>
  <c r="AV128" i="5"/>
  <c r="AT128" i="5"/>
  <c r="AR128" i="5"/>
  <c r="BB127" i="5"/>
  <c r="AZ127" i="5"/>
  <c r="AX127" i="5"/>
  <c r="AV127" i="5"/>
  <c r="AT127" i="5"/>
  <c r="AR127" i="5"/>
  <c r="BB126" i="5"/>
  <c r="AZ126" i="5"/>
  <c r="AX126" i="5"/>
  <c r="AV126" i="5"/>
  <c r="AT126" i="5"/>
  <c r="AR126" i="5"/>
  <c r="BB125" i="5"/>
  <c r="AZ125" i="5"/>
  <c r="AX125" i="5"/>
  <c r="AV125" i="5"/>
  <c r="AT125" i="5"/>
  <c r="AR125" i="5"/>
  <c r="BB124" i="5"/>
  <c r="AZ124" i="5"/>
  <c r="AX124" i="5"/>
  <c r="AV124" i="5"/>
  <c r="AT124" i="5"/>
  <c r="AR124" i="5"/>
  <c r="BB123" i="5"/>
  <c r="AZ123" i="5"/>
  <c r="AX123" i="5"/>
  <c r="AV123" i="5"/>
  <c r="AT123" i="5"/>
  <c r="AR123" i="5"/>
  <c r="BB122" i="5"/>
  <c r="AZ122" i="5"/>
  <c r="AX122" i="5"/>
  <c r="AV122" i="5"/>
  <c r="AT122" i="5"/>
  <c r="AR122" i="5"/>
  <c r="BB121" i="5"/>
  <c r="AZ121" i="5"/>
  <c r="AX121" i="5"/>
  <c r="AV121" i="5"/>
  <c r="AT121" i="5"/>
  <c r="AR121" i="5"/>
  <c r="BB120" i="5"/>
  <c r="AZ120" i="5"/>
  <c r="AX120" i="5"/>
  <c r="AV120" i="5"/>
  <c r="AT120" i="5"/>
  <c r="AR120" i="5"/>
  <c r="BB119" i="5"/>
  <c r="AZ119" i="5"/>
  <c r="AX119" i="5"/>
  <c r="AV119" i="5"/>
  <c r="AT119" i="5"/>
  <c r="AR119" i="5"/>
  <c r="BB118" i="5"/>
  <c r="AZ118" i="5"/>
  <c r="AX118" i="5"/>
  <c r="AV118" i="5"/>
  <c r="AT118" i="5"/>
  <c r="AR118" i="5"/>
  <c r="BB117" i="5"/>
  <c r="AZ117" i="5"/>
  <c r="AX117" i="5"/>
  <c r="AV117" i="5"/>
  <c r="AT117" i="5"/>
  <c r="AR117" i="5"/>
  <c r="BB116" i="5"/>
  <c r="AZ116" i="5"/>
  <c r="AX116" i="5"/>
  <c r="AV116" i="5"/>
  <c r="AT116" i="5"/>
  <c r="AR116" i="5"/>
  <c r="AJ116" i="5"/>
  <c r="AF116" i="5"/>
  <c r="BB115" i="5"/>
  <c r="AZ115" i="5"/>
  <c r="AX115" i="5"/>
  <c r="AV115" i="5"/>
  <c r="AT115" i="5"/>
  <c r="AR115" i="5"/>
  <c r="AJ115" i="5"/>
  <c r="AF115" i="5"/>
  <c r="BB114" i="5"/>
  <c r="AZ114" i="5"/>
  <c r="AX114" i="5"/>
  <c r="AV114" i="5"/>
  <c r="AT114" i="5"/>
  <c r="AR114" i="5"/>
  <c r="AJ114" i="5"/>
  <c r="AF114" i="5"/>
  <c r="BB113" i="5"/>
  <c r="AZ113" i="5"/>
  <c r="AX113" i="5"/>
  <c r="AV113" i="5"/>
  <c r="AT113" i="5"/>
  <c r="AR113" i="5"/>
  <c r="AJ113" i="5"/>
  <c r="AH113" i="5"/>
  <c r="AF113" i="5"/>
  <c r="BB112" i="5"/>
  <c r="AZ112" i="5"/>
  <c r="AX112" i="5"/>
  <c r="AV112" i="5"/>
  <c r="AT112" i="5"/>
  <c r="AR112" i="5"/>
  <c r="AJ112" i="5"/>
  <c r="AH112" i="5"/>
  <c r="AF112" i="5"/>
  <c r="BB111" i="5"/>
  <c r="AZ111" i="5"/>
  <c r="AX111" i="5"/>
  <c r="AV111" i="5"/>
  <c r="AT111" i="5"/>
  <c r="AR111" i="5"/>
  <c r="AJ111" i="5"/>
  <c r="AH111" i="5"/>
  <c r="AF111" i="5"/>
  <c r="BB110" i="5"/>
  <c r="AZ110" i="5"/>
  <c r="AX110" i="5"/>
  <c r="AV110" i="5"/>
  <c r="AT110" i="5"/>
  <c r="AR110" i="5"/>
  <c r="AP110" i="5"/>
  <c r="AJ110" i="5"/>
  <c r="AH110" i="5"/>
  <c r="AF110" i="5"/>
  <c r="BB109" i="5"/>
  <c r="AZ109" i="5"/>
  <c r="AX109" i="5"/>
  <c r="AV109" i="5"/>
  <c r="AT109" i="5"/>
  <c r="AR109" i="5"/>
  <c r="AP109" i="5"/>
  <c r="AJ109" i="5"/>
  <c r="AH109" i="5"/>
  <c r="AF109" i="5"/>
  <c r="BB108" i="5"/>
  <c r="AZ108" i="5"/>
  <c r="AX108" i="5"/>
  <c r="AV108" i="5"/>
  <c r="AT108" i="5"/>
  <c r="AR108" i="5"/>
  <c r="AP108" i="5"/>
  <c r="AJ108" i="5"/>
  <c r="AH108" i="5"/>
  <c r="AF108" i="5"/>
  <c r="BB107" i="5"/>
  <c r="AZ107" i="5"/>
  <c r="AX107" i="5"/>
  <c r="AV107" i="5"/>
  <c r="AT107" i="5"/>
  <c r="AR107" i="5"/>
  <c r="AP107" i="5"/>
  <c r="AL107" i="5"/>
  <c r="AJ107" i="5"/>
  <c r="AH107" i="5"/>
  <c r="AF107" i="5"/>
  <c r="BB106" i="5"/>
  <c r="AZ106" i="5"/>
  <c r="AX106" i="5"/>
  <c r="AV106" i="5"/>
  <c r="AT106" i="5"/>
  <c r="AR106" i="5"/>
  <c r="AP106" i="5"/>
  <c r="AL106" i="5"/>
  <c r="AJ106" i="5"/>
  <c r="AH106" i="5"/>
  <c r="AF106" i="5"/>
  <c r="BB105" i="5"/>
  <c r="AZ105" i="5"/>
  <c r="AX105" i="5"/>
  <c r="AV105" i="5"/>
  <c r="AT105" i="5"/>
  <c r="AR105" i="5"/>
  <c r="AP105" i="5"/>
  <c r="AL105" i="5"/>
  <c r="AJ105" i="5"/>
  <c r="AH105" i="5"/>
  <c r="AF105" i="5"/>
  <c r="BB104" i="5"/>
  <c r="AZ104" i="5"/>
  <c r="AX104" i="5"/>
  <c r="AV104" i="5"/>
  <c r="AT104" i="5"/>
  <c r="AR104" i="5"/>
  <c r="AP104" i="5"/>
  <c r="AL104" i="5"/>
  <c r="AJ104" i="5"/>
  <c r="AH104" i="5"/>
  <c r="AF104" i="5"/>
  <c r="BB103" i="5"/>
  <c r="AZ103" i="5"/>
  <c r="AX103" i="5"/>
  <c r="AV103" i="5"/>
  <c r="AT103" i="5"/>
  <c r="AR103" i="5"/>
  <c r="AP103" i="5"/>
  <c r="AL103" i="5"/>
  <c r="AJ103" i="5"/>
  <c r="AH103" i="5"/>
  <c r="AF103" i="5"/>
  <c r="BB102" i="5"/>
  <c r="AZ102" i="5"/>
  <c r="AX102" i="5"/>
  <c r="AV102" i="5"/>
  <c r="AT102" i="5"/>
  <c r="AR102" i="5"/>
  <c r="AP102" i="5"/>
  <c r="AN102" i="5"/>
  <c r="AL102" i="5"/>
  <c r="AJ102" i="5"/>
  <c r="AH102" i="5"/>
  <c r="AF102" i="5"/>
  <c r="BB101" i="5"/>
  <c r="AZ101" i="5"/>
  <c r="AX101" i="5"/>
  <c r="AV101" i="5"/>
  <c r="AT101" i="5"/>
  <c r="AR101" i="5"/>
  <c r="AP101" i="5"/>
  <c r="AN101" i="5"/>
  <c r="AL101" i="5"/>
  <c r="AJ101" i="5"/>
  <c r="AH101" i="5"/>
  <c r="AF101" i="5"/>
  <c r="BB100" i="5"/>
  <c r="AZ100" i="5"/>
  <c r="AX100" i="5"/>
  <c r="AV100" i="5"/>
  <c r="AT100" i="5"/>
  <c r="AR100" i="5"/>
  <c r="AP100" i="5"/>
  <c r="AN100" i="5"/>
  <c r="AL100" i="5"/>
  <c r="AJ100" i="5"/>
  <c r="AH100" i="5"/>
  <c r="AF100" i="5"/>
  <c r="BB99" i="5"/>
  <c r="AZ99" i="5"/>
  <c r="AX99" i="5"/>
  <c r="AV99" i="5"/>
  <c r="AT99" i="5"/>
  <c r="AR99" i="5"/>
  <c r="AP99" i="5"/>
  <c r="AN99" i="5"/>
  <c r="AL99" i="5"/>
  <c r="AJ99" i="5"/>
  <c r="AH99" i="5"/>
  <c r="AF99" i="5"/>
  <c r="BB98" i="5"/>
  <c r="AZ98" i="5"/>
  <c r="AX98" i="5"/>
  <c r="AV98" i="5"/>
  <c r="AT98" i="5"/>
  <c r="AR98" i="5"/>
  <c r="AP98" i="5"/>
  <c r="AN98" i="5"/>
  <c r="AL98" i="5"/>
  <c r="AJ98" i="5"/>
  <c r="AH98" i="5"/>
  <c r="AF98" i="5"/>
  <c r="BB97" i="5"/>
  <c r="AZ97" i="5"/>
  <c r="AX97" i="5"/>
  <c r="AV97" i="5"/>
  <c r="AT97" i="5"/>
  <c r="AR97" i="5"/>
  <c r="AP97" i="5"/>
  <c r="AN97" i="5"/>
  <c r="AL97" i="5"/>
  <c r="AJ97" i="5"/>
  <c r="AH97" i="5"/>
  <c r="AF97" i="5"/>
  <c r="BB96" i="5"/>
  <c r="AZ96" i="5"/>
  <c r="AX96" i="5"/>
  <c r="AV96" i="5"/>
  <c r="AT96" i="5"/>
  <c r="AR96" i="5"/>
  <c r="AP96" i="5"/>
  <c r="AN96" i="5"/>
  <c r="AL96" i="5"/>
  <c r="AJ96" i="5"/>
  <c r="AH96" i="5"/>
  <c r="AF96" i="5"/>
  <c r="BB95" i="5"/>
  <c r="AZ95" i="5"/>
  <c r="AX95" i="5"/>
  <c r="AV95" i="5"/>
  <c r="AT95" i="5"/>
  <c r="AR95" i="5"/>
  <c r="AP95" i="5"/>
  <c r="AN95" i="5"/>
  <c r="AL95" i="5"/>
  <c r="AJ95" i="5"/>
  <c r="AH95" i="5"/>
  <c r="AF95" i="5"/>
  <c r="BB94" i="5"/>
  <c r="AZ94" i="5"/>
  <c r="AX94" i="5"/>
  <c r="AV94" i="5"/>
  <c r="AT94" i="5"/>
  <c r="AR94" i="5"/>
  <c r="AP94" i="5"/>
  <c r="AN94" i="5"/>
  <c r="AL94" i="5"/>
  <c r="AJ94" i="5"/>
  <c r="AH94" i="5"/>
  <c r="AF94" i="5"/>
  <c r="BB93" i="5"/>
  <c r="AZ93" i="5"/>
  <c r="AX93" i="5"/>
  <c r="AV93" i="5"/>
  <c r="AT93" i="5"/>
  <c r="AR93" i="5"/>
  <c r="AP93" i="5"/>
  <c r="AN93" i="5"/>
  <c r="AL93" i="5"/>
  <c r="AJ93" i="5"/>
  <c r="AH93" i="5"/>
  <c r="AF93" i="5"/>
  <c r="BB92" i="5"/>
  <c r="AZ92" i="5"/>
  <c r="AX92" i="5"/>
  <c r="AV92" i="5"/>
  <c r="AT92" i="5"/>
  <c r="AR92" i="5"/>
  <c r="AP92" i="5"/>
  <c r="AN92" i="5"/>
  <c r="AL92" i="5"/>
  <c r="AJ92" i="5"/>
  <c r="AH92" i="5"/>
  <c r="AF92" i="5"/>
  <c r="BB91" i="5"/>
  <c r="AZ91" i="5"/>
  <c r="AX91" i="5"/>
  <c r="AV91" i="5"/>
  <c r="AT91" i="5"/>
  <c r="AR91" i="5"/>
  <c r="AP91" i="5"/>
  <c r="AN91" i="5"/>
  <c r="AL91" i="5"/>
  <c r="AJ91" i="5"/>
  <c r="AH91" i="5"/>
  <c r="AF91" i="5"/>
  <c r="BB90" i="5"/>
  <c r="AZ90" i="5"/>
  <c r="AX90" i="5"/>
  <c r="AV90" i="5"/>
  <c r="AT90" i="5"/>
  <c r="AR90" i="5"/>
  <c r="AP90" i="5"/>
  <c r="AN90" i="5"/>
  <c r="AL90" i="5"/>
  <c r="AJ90" i="5"/>
  <c r="AH90" i="5"/>
  <c r="AF90" i="5"/>
  <c r="BB89" i="5"/>
  <c r="AZ89" i="5"/>
  <c r="AX89" i="5"/>
  <c r="AV89" i="5"/>
  <c r="AT89" i="5"/>
  <c r="AR89" i="5"/>
  <c r="AP89" i="5"/>
  <c r="AN89" i="5"/>
  <c r="AL89" i="5"/>
  <c r="AJ89" i="5"/>
  <c r="AH89" i="5"/>
  <c r="AF89" i="5"/>
  <c r="BB88" i="5"/>
  <c r="AZ88" i="5"/>
  <c r="AX88" i="5"/>
  <c r="AV88" i="5"/>
  <c r="AT88" i="5"/>
  <c r="AR88" i="5"/>
  <c r="AP88" i="5"/>
  <c r="AN88" i="5"/>
  <c r="AL88" i="5"/>
  <c r="AJ88" i="5"/>
  <c r="AH88" i="5"/>
  <c r="AF88" i="5"/>
  <c r="BB87" i="5"/>
  <c r="AZ87" i="5"/>
  <c r="AX87" i="5"/>
  <c r="AV87" i="5"/>
  <c r="AT87" i="5"/>
  <c r="AR87" i="5"/>
  <c r="AP87" i="5"/>
  <c r="AN87" i="5"/>
  <c r="AL87" i="5"/>
  <c r="AJ87" i="5"/>
  <c r="AH87" i="5"/>
  <c r="AF87" i="5"/>
  <c r="BB86" i="5"/>
  <c r="AZ86" i="5"/>
  <c r="AX86" i="5"/>
  <c r="AV86" i="5"/>
  <c r="AT86" i="5"/>
  <c r="AR86" i="5"/>
  <c r="AP86" i="5"/>
  <c r="AN86" i="5"/>
  <c r="AL86" i="5"/>
  <c r="AJ86" i="5"/>
  <c r="AH86" i="5"/>
  <c r="AF86" i="5"/>
  <c r="BB85" i="5"/>
  <c r="AZ85" i="5"/>
  <c r="AX85" i="5"/>
  <c r="AV85" i="5"/>
  <c r="AT85" i="5"/>
  <c r="AR85" i="5"/>
  <c r="AP85" i="5"/>
  <c r="AN85" i="5"/>
  <c r="AL85" i="5"/>
  <c r="AJ85" i="5"/>
  <c r="AH85" i="5"/>
  <c r="AF85" i="5"/>
  <c r="BB84" i="5"/>
  <c r="AZ84" i="5"/>
  <c r="AX84" i="5"/>
  <c r="AV84" i="5"/>
  <c r="AT84" i="5"/>
  <c r="AR84" i="5"/>
  <c r="AP84" i="5"/>
  <c r="AN84" i="5"/>
  <c r="AL84" i="5"/>
  <c r="AJ84" i="5"/>
  <c r="AH84" i="5"/>
  <c r="AF84" i="5"/>
  <c r="BB83" i="5"/>
  <c r="AZ83" i="5"/>
  <c r="AX83" i="5"/>
  <c r="AV83" i="5"/>
  <c r="AT83" i="5"/>
  <c r="AR83" i="5"/>
  <c r="AP83" i="5"/>
  <c r="AN83" i="5"/>
  <c r="AL83" i="5"/>
  <c r="AJ83" i="5"/>
  <c r="AH83" i="5"/>
  <c r="AF83" i="5"/>
  <c r="BB82" i="5"/>
  <c r="AZ82" i="5"/>
  <c r="AX82" i="5"/>
  <c r="AV82" i="5"/>
  <c r="AT82" i="5"/>
  <c r="AR82" i="5"/>
  <c r="AP82" i="5"/>
  <c r="AN82" i="5"/>
  <c r="AL82" i="5"/>
  <c r="AJ82" i="5"/>
  <c r="AH82" i="5"/>
  <c r="AF82" i="5"/>
  <c r="BB81" i="5"/>
  <c r="AZ81" i="5"/>
  <c r="AX81" i="5"/>
  <c r="AV81" i="5"/>
  <c r="AT81" i="5"/>
  <c r="AR81" i="5"/>
  <c r="AP81" i="5"/>
  <c r="AN81" i="5"/>
  <c r="AL81" i="5"/>
  <c r="AJ81" i="5"/>
  <c r="AH81" i="5"/>
  <c r="AF81" i="5"/>
  <c r="BB80" i="5"/>
  <c r="AZ80" i="5"/>
  <c r="AX80" i="5"/>
  <c r="AV80" i="5"/>
  <c r="AT80" i="5"/>
  <c r="AR80" i="5"/>
  <c r="AP80" i="5"/>
  <c r="AN80" i="5"/>
  <c r="AL80" i="5"/>
  <c r="AJ80" i="5"/>
  <c r="AH80" i="5"/>
  <c r="AF80" i="5"/>
  <c r="BB79" i="5"/>
  <c r="AZ79" i="5"/>
  <c r="AX79" i="5"/>
  <c r="AV79" i="5"/>
  <c r="AT79" i="5"/>
  <c r="AR79" i="5"/>
  <c r="AP79" i="5"/>
  <c r="AN79" i="5"/>
  <c r="AL79" i="5"/>
  <c r="AJ79" i="5"/>
  <c r="AH79" i="5"/>
  <c r="AF79" i="5"/>
  <c r="BB78" i="5"/>
  <c r="AZ78" i="5"/>
  <c r="AX78" i="5"/>
  <c r="AV78" i="5"/>
  <c r="AT78" i="5"/>
  <c r="AR78" i="5"/>
  <c r="AP78" i="5"/>
  <c r="AN78" i="5"/>
  <c r="AL78" i="5"/>
  <c r="AJ78" i="5"/>
  <c r="AH78" i="5"/>
  <c r="AF78" i="5"/>
  <c r="BB77" i="5"/>
  <c r="AZ77" i="5"/>
  <c r="AX77" i="5"/>
  <c r="AV77" i="5"/>
  <c r="AT77" i="5"/>
  <c r="AR77" i="5"/>
  <c r="AP77" i="5"/>
  <c r="AN77" i="5"/>
  <c r="AL77" i="5"/>
  <c r="AJ77" i="5"/>
  <c r="AH77" i="5"/>
  <c r="AF77" i="5"/>
  <c r="BB76" i="5"/>
  <c r="AZ76" i="5"/>
  <c r="AX76" i="5"/>
  <c r="AV76" i="5"/>
  <c r="AT76" i="5"/>
  <c r="AR76" i="5"/>
  <c r="AP76" i="5"/>
  <c r="AN76" i="5"/>
  <c r="AL76" i="5"/>
  <c r="AJ76" i="5"/>
  <c r="AH76" i="5"/>
  <c r="AF76" i="5"/>
  <c r="BB75" i="5"/>
  <c r="AZ75" i="5"/>
  <c r="AX75" i="5"/>
  <c r="AV75" i="5"/>
  <c r="AT75" i="5"/>
  <c r="AR75" i="5"/>
  <c r="AP75" i="5"/>
  <c r="AN75" i="5"/>
  <c r="AL75" i="5"/>
  <c r="AJ75" i="5"/>
  <c r="AH75" i="5"/>
  <c r="AF75" i="5"/>
  <c r="BB74" i="5"/>
  <c r="AZ74" i="5"/>
  <c r="AX74" i="5"/>
  <c r="AV74" i="5"/>
  <c r="AT74" i="5"/>
  <c r="AR74" i="5"/>
  <c r="AP74" i="5"/>
  <c r="AN74" i="5"/>
  <c r="AL74" i="5"/>
  <c r="AJ74" i="5"/>
  <c r="AH74" i="5"/>
  <c r="AF74" i="5"/>
  <c r="BB73" i="5"/>
  <c r="AZ73" i="5"/>
  <c r="AX73" i="5"/>
  <c r="AV73" i="5"/>
  <c r="AT73" i="5"/>
  <c r="AR73" i="5"/>
  <c r="AP73" i="5"/>
  <c r="AN73" i="5"/>
  <c r="AL73" i="5"/>
  <c r="AJ73" i="5"/>
  <c r="AH73" i="5"/>
  <c r="AF73" i="5"/>
  <c r="BB72" i="5"/>
  <c r="AZ72" i="5"/>
  <c r="AX72" i="5"/>
  <c r="AV72" i="5"/>
  <c r="AT72" i="5"/>
  <c r="AR72" i="5"/>
  <c r="AP72" i="5"/>
  <c r="AN72" i="5"/>
  <c r="AL72" i="5"/>
  <c r="AJ72" i="5"/>
  <c r="AH72" i="5"/>
  <c r="AF72" i="5"/>
  <c r="BB71" i="5"/>
  <c r="AZ71" i="5"/>
  <c r="AX71" i="5"/>
  <c r="AV71" i="5"/>
  <c r="AT71" i="5"/>
  <c r="AR71" i="5"/>
  <c r="AP71" i="5"/>
  <c r="AN71" i="5"/>
  <c r="AL71" i="5"/>
  <c r="AJ71" i="5"/>
  <c r="AH71" i="5"/>
  <c r="AF71" i="5"/>
  <c r="BB70" i="5"/>
  <c r="AZ70" i="5"/>
  <c r="AX70" i="5"/>
  <c r="AV70" i="5"/>
  <c r="AT70" i="5"/>
  <c r="AR70" i="5"/>
  <c r="AP70" i="5"/>
  <c r="AN70" i="5"/>
  <c r="AL70" i="5"/>
  <c r="AJ70" i="5"/>
  <c r="AH70" i="5"/>
  <c r="AF70" i="5"/>
  <c r="BB69" i="5"/>
  <c r="AZ69" i="5"/>
  <c r="AX69" i="5"/>
  <c r="AV69" i="5"/>
  <c r="AT69" i="5"/>
  <c r="AR69" i="5"/>
  <c r="AP69" i="5"/>
  <c r="AN69" i="5"/>
  <c r="AL69" i="5"/>
  <c r="AJ69" i="5"/>
  <c r="AH69" i="5"/>
  <c r="AF69" i="5"/>
  <c r="BB68" i="5"/>
  <c r="AZ68" i="5"/>
  <c r="AX68" i="5"/>
  <c r="AV68" i="5"/>
  <c r="AT68" i="5"/>
  <c r="AR68" i="5"/>
  <c r="AP68" i="5"/>
  <c r="AN68" i="5"/>
  <c r="AL68" i="5"/>
  <c r="AJ68" i="5"/>
  <c r="AH68" i="5"/>
  <c r="AF68" i="5"/>
  <c r="BB67" i="5"/>
  <c r="AZ67" i="5"/>
  <c r="AX67" i="5"/>
  <c r="AV67" i="5"/>
  <c r="AT67" i="5"/>
  <c r="AR67" i="5"/>
  <c r="AP67" i="5"/>
  <c r="AN67" i="5"/>
  <c r="AL67" i="5"/>
  <c r="AJ67" i="5"/>
  <c r="AH67" i="5"/>
  <c r="AF67" i="5"/>
  <c r="BB66" i="5"/>
  <c r="AZ66" i="5"/>
  <c r="AX66" i="5"/>
  <c r="AV66" i="5"/>
  <c r="AT66" i="5"/>
  <c r="AR66" i="5"/>
  <c r="AP66" i="5"/>
  <c r="AN66" i="5"/>
  <c r="AL66" i="5"/>
  <c r="AJ66" i="5"/>
  <c r="AH66" i="5"/>
  <c r="AF66" i="5"/>
  <c r="BB65" i="5"/>
  <c r="AZ65" i="5"/>
  <c r="AX65" i="5"/>
  <c r="AV65" i="5"/>
  <c r="AT65" i="5"/>
  <c r="AR65" i="5"/>
  <c r="AP65" i="5"/>
  <c r="AN65" i="5"/>
  <c r="AL65" i="5"/>
  <c r="AJ65" i="5"/>
  <c r="AH65" i="5"/>
  <c r="AF65" i="5"/>
  <c r="BB64" i="5"/>
  <c r="AZ64" i="5"/>
  <c r="AX64" i="5"/>
  <c r="AV64" i="5"/>
  <c r="AT64" i="5"/>
  <c r="AR64" i="5"/>
  <c r="AP64" i="5"/>
  <c r="AN64" i="5"/>
  <c r="AL64" i="5"/>
  <c r="AJ64" i="5"/>
  <c r="AH64" i="5"/>
  <c r="AF64" i="5"/>
  <c r="BB63" i="5"/>
  <c r="AZ63" i="5"/>
  <c r="AX63" i="5"/>
  <c r="AV63" i="5"/>
  <c r="AT63" i="5"/>
  <c r="AR63" i="5"/>
  <c r="AP63" i="5"/>
  <c r="AN63" i="5"/>
  <c r="AL63" i="5"/>
  <c r="AJ63" i="5"/>
  <c r="AH63" i="5"/>
  <c r="AF63" i="5"/>
  <c r="BB62" i="5"/>
  <c r="AZ62" i="5"/>
  <c r="AX62" i="5"/>
  <c r="AV62" i="5"/>
  <c r="AT62" i="5"/>
  <c r="AR62" i="5"/>
  <c r="AP62" i="5"/>
  <c r="AN62" i="5"/>
  <c r="AL62" i="5"/>
  <c r="AJ62" i="5"/>
  <c r="AH62" i="5"/>
  <c r="AF62" i="5"/>
  <c r="BB61" i="5"/>
  <c r="AZ61" i="5"/>
  <c r="AX61" i="5"/>
  <c r="AV61" i="5"/>
  <c r="AT61" i="5"/>
  <c r="AR61" i="5"/>
  <c r="AP61" i="5"/>
  <c r="AN61" i="5"/>
  <c r="AL61" i="5"/>
  <c r="AJ61" i="5"/>
  <c r="AH61" i="5"/>
  <c r="AF61" i="5"/>
  <c r="BB60" i="5"/>
  <c r="AZ60" i="5"/>
  <c r="AX60" i="5"/>
  <c r="AV60" i="5"/>
  <c r="AT60" i="5"/>
  <c r="AR60" i="5"/>
  <c r="AP60" i="5"/>
  <c r="AN60" i="5"/>
  <c r="AL60" i="5"/>
  <c r="AJ60" i="5"/>
  <c r="AH60" i="5"/>
  <c r="AF60" i="5"/>
  <c r="BB59" i="5"/>
  <c r="AZ59" i="5"/>
  <c r="AX59" i="5"/>
  <c r="AV59" i="5"/>
  <c r="AT59" i="5"/>
  <c r="AR59" i="5"/>
  <c r="AP59" i="5"/>
  <c r="AN59" i="5"/>
  <c r="AL59" i="5"/>
  <c r="AJ59" i="5"/>
  <c r="AH59" i="5"/>
  <c r="AF59" i="5"/>
  <c r="BB58" i="5"/>
  <c r="AZ58" i="5"/>
  <c r="AX58" i="5"/>
  <c r="AV58" i="5"/>
  <c r="AT58" i="5"/>
  <c r="AR58" i="5"/>
  <c r="AP58" i="5"/>
  <c r="AN58" i="5"/>
  <c r="AL58" i="5"/>
  <c r="AJ58" i="5"/>
  <c r="AH58" i="5"/>
  <c r="AF58" i="5"/>
  <c r="BB57" i="5"/>
  <c r="AZ57" i="5"/>
  <c r="AX57" i="5"/>
  <c r="AV57" i="5"/>
  <c r="AT57" i="5"/>
  <c r="AR57" i="5"/>
  <c r="AP57" i="5"/>
  <c r="AN57" i="5"/>
  <c r="AL57" i="5"/>
  <c r="AJ57" i="5"/>
  <c r="AH57" i="5"/>
  <c r="AF57" i="5"/>
  <c r="BB56" i="5"/>
  <c r="AZ56" i="5"/>
  <c r="AX56" i="5"/>
  <c r="AV56" i="5"/>
  <c r="AT56" i="5"/>
  <c r="AR56" i="5"/>
  <c r="AP56" i="5"/>
  <c r="AN56" i="5"/>
  <c r="AL56" i="5"/>
  <c r="AJ56" i="5"/>
  <c r="AH56" i="5"/>
  <c r="AF56" i="5"/>
  <c r="BB55" i="5"/>
  <c r="AZ55" i="5"/>
  <c r="AX55" i="5"/>
  <c r="AV55" i="5"/>
  <c r="AT55" i="5"/>
  <c r="AR55" i="5"/>
  <c r="AP55" i="5"/>
  <c r="AN55" i="5"/>
  <c r="AL55" i="5"/>
  <c r="AJ55" i="5"/>
  <c r="AH55" i="5"/>
  <c r="AF55" i="5"/>
  <c r="BB54" i="5"/>
  <c r="AZ54" i="5"/>
  <c r="AX54" i="5"/>
  <c r="AV54" i="5"/>
  <c r="AT54" i="5"/>
  <c r="AR54" i="5"/>
  <c r="AP54" i="5"/>
  <c r="AN54" i="5"/>
  <c r="AL54" i="5"/>
  <c r="AJ54" i="5"/>
  <c r="AH54" i="5"/>
  <c r="AF54" i="5"/>
  <c r="BB53" i="5"/>
  <c r="AZ53" i="5"/>
  <c r="AX53" i="5"/>
  <c r="AV53" i="5"/>
  <c r="AT53" i="5"/>
  <c r="AR53" i="5"/>
  <c r="AP53" i="5"/>
  <c r="AN53" i="5"/>
  <c r="AL53" i="5"/>
  <c r="AJ53" i="5"/>
  <c r="AH53" i="5"/>
  <c r="AF53" i="5"/>
  <c r="BB52" i="5"/>
  <c r="AZ52" i="5"/>
  <c r="AX52" i="5"/>
  <c r="AV52" i="5"/>
  <c r="AT52" i="5"/>
  <c r="AR52" i="5"/>
  <c r="AP52" i="5"/>
  <c r="AN52" i="5"/>
  <c r="AL52" i="5"/>
  <c r="AJ52" i="5"/>
  <c r="AH52" i="5"/>
  <c r="AF52" i="5"/>
  <c r="BB51" i="5"/>
  <c r="AZ51" i="5"/>
  <c r="AX51" i="5"/>
  <c r="AV51" i="5"/>
  <c r="AT51" i="5"/>
  <c r="AR51" i="5"/>
  <c r="AP51" i="5"/>
  <c r="AN51" i="5"/>
  <c r="AL51" i="5"/>
  <c r="AJ51" i="5"/>
  <c r="AH51" i="5"/>
  <c r="AF51" i="5"/>
  <c r="BB50" i="5"/>
  <c r="AZ50" i="5"/>
  <c r="AX50" i="5"/>
  <c r="AV50" i="5"/>
  <c r="AT50" i="5"/>
  <c r="AR50" i="5"/>
  <c r="AP50" i="5"/>
  <c r="AN50" i="5"/>
  <c r="AL50" i="5"/>
  <c r="AJ50" i="5"/>
  <c r="AH50" i="5"/>
  <c r="AF50" i="5"/>
  <c r="BB49" i="5"/>
  <c r="AZ49" i="5"/>
  <c r="AX49" i="5"/>
  <c r="AV49" i="5"/>
  <c r="AT49" i="5"/>
  <c r="AR49" i="5"/>
  <c r="AP49" i="5"/>
  <c r="AN49" i="5"/>
  <c r="AL49" i="5"/>
  <c r="AJ49" i="5"/>
  <c r="AH49" i="5"/>
  <c r="AF49" i="5"/>
  <c r="BB48" i="5"/>
  <c r="AZ48" i="5"/>
  <c r="AX48" i="5"/>
  <c r="AV48" i="5"/>
  <c r="AT48" i="5"/>
  <c r="AR48" i="5"/>
  <c r="AP48" i="5"/>
  <c r="AN48" i="5"/>
  <c r="AL48" i="5"/>
  <c r="AJ48" i="5"/>
  <c r="AH48" i="5"/>
  <c r="AF48" i="5"/>
  <c r="BB47" i="5"/>
  <c r="AZ47" i="5"/>
  <c r="AX47" i="5"/>
  <c r="AV47" i="5"/>
  <c r="AT47" i="5"/>
  <c r="AR47" i="5"/>
  <c r="AP47" i="5"/>
  <c r="AN47" i="5"/>
  <c r="AL47" i="5"/>
  <c r="AJ47" i="5"/>
  <c r="AH47" i="5"/>
  <c r="AF47" i="5"/>
  <c r="BB46" i="5"/>
  <c r="AZ46" i="5"/>
  <c r="AX46" i="5"/>
  <c r="AV46" i="5"/>
  <c r="AT46" i="5"/>
  <c r="AR46" i="5"/>
  <c r="AP46" i="5"/>
  <c r="AN46" i="5"/>
  <c r="AL46" i="5"/>
  <c r="AJ46" i="5"/>
  <c r="AH46" i="5"/>
  <c r="AF46" i="5"/>
  <c r="BB45" i="5"/>
  <c r="AZ45" i="5"/>
  <c r="AX45" i="5"/>
  <c r="AV45" i="5"/>
  <c r="AT45" i="5"/>
  <c r="AR45" i="5"/>
  <c r="AP45" i="5"/>
  <c r="AN45" i="5"/>
  <c r="AL45" i="5"/>
  <c r="AJ45" i="5"/>
  <c r="AH45" i="5"/>
  <c r="AF45" i="5"/>
  <c r="BB44" i="5"/>
  <c r="AZ44" i="5"/>
  <c r="AX44" i="5"/>
  <c r="AV44" i="5"/>
  <c r="AT44" i="5"/>
  <c r="AR44" i="5"/>
  <c r="AP44" i="5"/>
  <c r="AN44" i="5"/>
  <c r="AL44" i="5"/>
  <c r="AJ44" i="5"/>
  <c r="AH44" i="5"/>
  <c r="AF44" i="5"/>
  <c r="BB43" i="5"/>
  <c r="AZ43" i="5"/>
  <c r="AX43" i="5"/>
  <c r="AV43" i="5"/>
  <c r="AT43" i="5"/>
  <c r="AR43" i="5"/>
  <c r="AP43" i="5"/>
  <c r="AN43" i="5"/>
  <c r="AL43" i="5"/>
  <c r="AJ43" i="5"/>
  <c r="AH43" i="5"/>
  <c r="AF43" i="5"/>
  <c r="BB42" i="5"/>
  <c r="AZ42" i="5"/>
  <c r="AX42" i="5"/>
  <c r="AV42" i="5"/>
  <c r="AT42" i="5"/>
  <c r="AR42" i="5"/>
  <c r="AP42" i="5"/>
  <c r="AN42" i="5"/>
  <c r="AL42" i="5"/>
  <c r="AJ42" i="5"/>
  <c r="AH42" i="5"/>
  <c r="AF42" i="5"/>
  <c r="BB41" i="5"/>
  <c r="AZ41" i="5"/>
  <c r="AX41" i="5"/>
  <c r="AV41" i="5"/>
  <c r="AT41" i="5"/>
  <c r="AR41" i="5"/>
  <c r="AP41" i="5"/>
  <c r="AN41" i="5"/>
  <c r="AL41" i="5"/>
  <c r="AJ41" i="5"/>
  <c r="AH41" i="5"/>
  <c r="AF41" i="5"/>
  <c r="BB40" i="5"/>
  <c r="AZ40" i="5"/>
  <c r="AX40" i="5"/>
  <c r="AV40" i="5"/>
  <c r="AT40" i="5"/>
  <c r="AR40" i="5"/>
  <c r="AP40" i="5"/>
  <c r="AN40" i="5"/>
  <c r="AL40" i="5"/>
  <c r="AJ40" i="5"/>
  <c r="AH40" i="5"/>
  <c r="AF40" i="5"/>
  <c r="BB39" i="5"/>
  <c r="AZ39" i="5"/>
  <c r="AX39" i="5"/>
  <c r="AV39" i="5"/>
  <c r="AT39" i="5"/>
  <c r="AR39" i="5"/>
  <c r="AP39" i="5"/>
  <c r="AN39" i="5"/>
  <c r="AL39" i="5"/>
  <c r="AJ39" i="5"/>
  <c r="AH39" i="5"/>
  <c r="AF39" i="5"/>
  <c r="BB38" i="5"/>
  <c r="AZ38" i="5"/>
  <c r="AX38" i="5"/>
  <c r="AV38" i="5"/>
  <c r="AT38" i="5"/>
  <c r="AR38" i="5"/>
  <c r="AP38" i="5"/>
  <c r="AN38" i="5"/>
  <c r="AL38" i="5"/>
  <c r="AJ38" i="5"/>
  <c r="AH38" i="5"/>
  <c r="AF38" i="5"/>
  <c r="BB37" i="5"/>
  <c r="AZ37" i="5"/>
  <c r="AX37" i="5"/>
  <c r="AV37" i="5"/>
  <c r="AT37" i="5"/>
  <c r="AR37" i="5"/>
  <c r="AP37" i="5"/>
  <c r="AN37" i="5"/>
  <c r="AL37" i="5"/>
  <c r="AJ37" i="5"/>
  <c r="AH37" i="5"/>
  <c r="AF37" i="5"/>
  <c r="BB36" i="5"/>
  <c r="AZ36" i="5"/>
  <c r="AX36" i="5"/>
  <c r="AV36" i="5"/>
  <c r="AT36" i="5"/>
  <c r="AR36" i="5"/>
  <c r="AP36" i="5"/>
  <c r="AN36" i="5"/>
  <c r="AL36" i="5"/>
  <c r="AJ36" i="5"/>
  <c r="AH36" i="5"/>
  <c r="AF36" i="5"/>
  <c r="BB35" i="5"/>
  <c r="AZ35" i="5"/>
  <c r="AX35" i="5"/>
  <c r="AV35" i="5"/>
  <c r="AT35" i="5"/>
  <c r="AR35" i="5"/>
  <c r="AP35" i="5"/>
  <c r="AN35" i="5"/>
  <c r="AL35" i="5"/>
  <c r="AJ35" i="5"/>
  <c r="AH35" i="5"/>
  <c r="AF35" i="5"/>
  <c r="BB34" i="5"/>
  <c r="AZ34" i="5"/>
  <c r="AX34" i="5"/>
  <c r="AV34" i="5"/>
  <c r="AT34" i="5"/>
  <c r="AR34" i="5"/>
  <c r="AP34" i="5"/>
  <c r="AN34" i="5"/>
  <c r="AL34" i="5"/>
  <c r="AJ34" i="5"/>
  <c r="AH34" i="5"/>
  <c r="AF34" i="5"/>
  <c r="BB33" i="5"/>
  <c r="AZ33" i="5"/>
  <c r="AX33" i="5"/>
  <c r="AV33" i="5"/>
  <c r="AT33" i="5"/>
  <c r="AR33" i="5"/>
  <c r="AP33" i="5"/>
  <c r="AN33" i="5"/>
  <c r="AL33" i="5"/>
  <c r="AJ33" i="5"/>
  <c r="AH33" i="5"/>
  <c r="AF33" i="5"/>
  <c r="BB32" i="5"/>
  <c r="AZ32" i="5"/>
  <c r="AX32" i="5"/>
  <c r="AV32" i="5"/>
  <c r="AT32" i="5"/>
  <c r="AR32" i="5"/>
  <c r="AP32" i="5"/>
  <c r="AN32" i="5"/>
  <c r="AL32" i="5"/>
  <c r="AJ32" i="5"/>
  <c r="AH32" i="5"/>
  <c r="AF32" i="5"/>
  <c r="BB31" i="5"/>
  <c r="AZ31" i="5"/>
  <c r="AX31" i="5"/>
  <c r="AV31" i="5"/>
  <c r="AT31" i="5"/>
  <c r="AR31" i="5"/>
  <c r="AP31" i="5"/>
  <c r="AN31" i="5"/>
  <c r="AL31" i="5"/>
  <c r="AJ31" i="5"/>
  <c r="AH31" i="5"/>
  <c r="AF31" i="5"/>
  <c r="BB30" i="5"/>
  <c r="AZ30" i="5"/>
  <c r="AX30" i="5"/>
  <c r="AV30" i="5"/>
  <c r="AT30" i="5"/>
  <c r="AR30" i="5"/>
  <c r="AP30" i="5"/>
  <c r="AN30" i="5"/>
  <c r="AL30" i="5"/>
  <c r="AJ30" i="5"/>
  <c r="AH30" i="5"/>
  <c r="AF30" i="5"/>
  <c r="BB29" i="5"/>
  <c r="AZ29" i="5"/>
  <c r="AX29" i="5"/>
  <c r="AV29" i="5"/>
  <c r="AT29" i="5"/>
  <c r="AR29" i="5"/>
  <c r="AP29" i="5"/>
  <c r="AN29" i="5"/>
  <c r="AL29" i="5"/>
  <c r="AJ29" i="5"/>
  <c r="AH29" i="5"/>
  <c r="AF29" i="5"/>
  <c r="BB28" i="5"/>
  <c r="AZ28" i="5"/>
  <c r="AX28" i="5"/>
  <c r="AV28" i="5"/>
  <c r="AT28" i="5"/>
  <c r="AR28" i="5"/>
  <c r="AP28" i="5"/>
  <c r="AN28" i="5"/>
  <c r="AL28" i="5"/>
  <c r="AJ28" i="5"/>
  <c r="AH28" i="5"/>
  <c r="AF28" i="5"/>
  <c r="BB27" i="5"/>
  <c r="AZ27" i="5"/>
  <c r="AX27" i="5"/>
  <c r="AV27" i="5"/>
  <c r="AT27" i="5"/>
  <c r="AR27" i="5"/>
  <c r="AP27" i="5"/>
  <c r="AN27" i="5"/>
  <c r="AL27" i="5"/>
  <c r="AJ27" i="5"/>
  <c r="AH27" i="5"/>
  <c r="AF27" i="5"/>
  <c r="BB26" i="5"/>
  <c r="AZ26" i="5"/>
  <c r="AX26" i="5"/>
  <c r="AV26" i="5"/>
  <c r="AT26" i="5"/>
  <c r="AR26" i="5"/>
  <c r="AP26" i="5"/>
  <c r="AN26" i="5"/>
  <c r="AL26" i="5"/>
  <c r="AJ26" i="5"/>
  <c r="AH26" i="5"/>
  <c r="AF26" i="5"/>
  <c r="BB25" i="5"/>
  <c r="AZ25" i="5"/>
  <c r="AX25" i="5"/>
  <c r="AV25" i="5"/>
  <c r="AT25" i="5"/>
  <c r="AR25" i="5"/>
  <c r="AP25" i="5"/>
  <c r="AN25" i="5"/>
  <c r="AL25" i="5"/>
  <c r="AJ25" i="5"/>
  <c r="AH25" i="5"/>
  <c r="AF25" i="5"/>
  <c r="BB24" i="5"/>
  <c r="AZ24" i="5"/>
  <c r="AX24" i="5"/>
  <c r="AV24" i="5"/>
  <c r="AT24" i="5"/>
  <c r="AR24" i="5"/>
  <c r="AP24" i="5"/>
  <c r="AN24" i="5"/>
  <c r="AL24" i="5"/>
  <c r="AJ24" i="5"/>
  <c r="AH24" i="5"/>
  <c r="AF24" i="5"/>
  <c r="BB23" i="5"/>
  <c r="AZ23" i="5"/>
  <c r="AX23" i="5"/>
  <c r="AV23" i="5"/>
  <c r="AT23" i="5"/>
  <c r="AR23" i="5"/>
  <c r="AP23" i="5"/>
  <c r="AN23" i="5"/>
  <c r="AL23" i="5"/>
  <c r="AJ23" i="5"/>
  <c r="AH23" i="5"/>
  <c r="AF23" i="5"/>
  <c r="BB22" i="5"/>
  <c r="AZ22" i="5"/>
  <c r="AX22" i="5"/>
  <c r="AV22" i="5"/>
  <c r="AT22" i="5"/>
  <c r="AR22" i="5"/>
  <c r="AP22" i="5"/>
  <c r="AN22" i="5"/>
  <c r="AL22" i="5"/>
  <c r="AJ22" i="5"/>
  <c r="AH22" i="5"/>
  <c r="AF22" i="5"/>
  <c r="BB21" i="5"/>
  <c r="AZ21" i="5"/>
  <c r="AX21" i="5"/>
  <c r="AV21" i="5"/>
  <c r="AT21" i="5"/>
  <c r="AR21" i="5"/>
  <c r="AP21" i="5"/>
  <c r="AN21" i="5"/>
  <c r="AL21" i="5"/>
  <c r="AJ21" i="5"/>
  <c r="AH21" i="5"/>
  <c r="AF21" i="5"/>
  <c r="BB20" i="5"/>
  <c r="AZ20" i="5"/>
  <c r="AX20" i="5"/>
  <c r="AV20" i="5"/>
  <c r="AT20" i="5"/>
  <c r="AR20" i="5"/>
  <c r="AP20" i="5"/>
  <c r="AN20" i="5"/>
  <c r="AL20" i="5"/>
  <c r="AJ20" i="5"/>
  <c r="AH20" i="5"/>
  <c r="AF20" i="5"/>
  <c r="BB19" i="5"/>
  <c r="AZ19" i="5"/>
  <c r="AX19" i="5"/>
  <c r="AV19" i="5"/>
  <c r="AT19" i="5"/>
  <c r="AR19" i="5"/>
  <c r="AP19" i="5"/>
  <c r="AN19" i="5"/>
  <c r="AL19" i="5"/>
  <c r="AJ19" i="5"/>
  <c r="AH19" i="5"/>
  <c r="AF19" i="5"/>
  <c r="BB18" i="5"/>
  <c r="AZ18" i="5"/>
  <c r="AX18" i="5"/>
  <c r="AV18" i="5"/>
  <c r="AT18" i="5"/>
  <c r="AR18" i="5"/>
  <c r="AP18" i="5"/>
  <c r="AN18" i="5"/>
  <c r="AL18" i="5"/>
  <c r="AJ18" i="5"/>
  <c r="AH18" i="5"/>
  <c r="AF18" i="5"/>
  <c r="BB17" i="5"/>
  <c r="AZ17" i="5"/>
  <c r="AX17" i="5"/>
  <c r="AV17" i="5"/>
  <c r="AT17" i="5"/>
  <c r="AR17" i="5"/>
  <c r="AP17" i="5"/>
  <c r="AN17" i="5"/>
  <c r="AL17" i="5"/>
  <c r="AJ17" i="5"/>
  <c r="AH17" i="5"/>
  <c r="AF17" i="5"/>
  <c r="BB16" i="5"/>
  <c r="AZ16" i="5"/>
  <c r="AX16" i="5"/>
  <c r="AV16" i="5"/>
  <c r="AT16" i="5"/>
  <c r="AR16" i="5"/>
  <c r="AP16" i="5"/>
  <c r="AN16" i="5"/>
  <c r="AL16" i="5"/>
  <c r="AJ16" i="5"/>
  <c r="AH16" i="5"/>
  <c r="AF16" i="5"/>
  <c r="B16" i="5"/>
  <c r="BB15" i="5"/>
  <c r="AZ15" i="5"/>
  <c r="AX15" i="5"/>
  <c r="AV15" i="5"/>
  <c r="AT15" i="5"/>
  <c r="AR15" i="5"/>
  <c r="AP15" i="5"/>
  <c r="AN15" i="5"/>
  <c r="AL15" i="5"/>
  <c r="AJ15" i="5"/>
  <c r="AH15" i="5"/>
  <c r="AF15" i="5"/>
  <c r="B15" i="5"/>
  <c r="BB14" i="5"/>
  <c r="AZ14" i="5"/>
  <c r="AX14" i="5"/>
  <c r="AV14" i="5"/>
  <c r="AT14" i="5"/>
  <c r="AR14" i="5"/>
  <c r="AP14" i="5"/>
  <c r="AN14" i="5"/>
  <c r="AL14" i="5"/>
  <c r="AJ14" i="5"/>
  <c r="AH14" i="5"/>
  <c r="AF14" i="5"/>
  <c r="B14" i="5"/>
  <c r="BB13" i="5"/>
  <c r="AZ13" i="5"/>
  <c r="AX13" i="5"/>
  <c r="AV13" i="5"/>
  <c r="AT13" i="5"/>
  <c r="AR13" i="5"/>
  <c r="AP13" i="5"/>
  <c r="AN13" i="5"/>
  <c r="AL13" i="5"/>
  <c r="AJ13" i="5"/>
  <c r="AH13" i="5"/>
  <c r="AF13" i="5"/>
  <c r="B13" i="5"/>
  <c r="BB12" i="5"/>
  <c r="AZ12" i="5"/>
  <c r="AX12" i="5"/>
  <c r="AV12" i="5"/>
  <c r="AT12" i="5"/>
  <c r="AR12" i="5"/>
  <c r="AP12" i="5"/>
  <c r="AN12" i="5"/>
  <c r="AL12" i="5"/>
  <c r="AJ12" i="5"/>
  <c r="AH12" i="5"/>
  <c r="AF12" i="5"/>
  <c r="B12" i="5"/>
  <c r="BB11" i="5"/>
  <c r="AZ11" i="5"/>
  <c r="AX11" i="5"/>
  <c r="AV11" i="5"/>
  <c r="AT11" i="5"/>
  <c r="AR11" i="5"/>
  <c r="AP11" i="5"/>
  <c r="AN11" i="5"/>
  <c r="AL11" i="5"/>
  <c r="AJ11" i="5"/>
  <c r="AH11" i="5"/>
  <c r="AF11" i="5"/>
  <c r="B11" i="5"/>
  <c r="BB10" i="5"/>
  <c r="AZ10" i="5"/>
  <c r="AX10" i="5"/>
  <c r="AV10" i="5"/>
  <c r="AT10" i="5"/>
  <c r="AR10" i="5"/>
  <c r="AP10" i="5"/>
  <c r="AN10" i="5"/>
  <c r="AL10" i="5"/>
  <c r="AJ10" i="5"/>
  <c r="AH10" i="5"/>
  <c r="AF10" i="5"/>
  <c r="B10" i="5"/>
  <c r="BB9" i="5"/>
  <c r="AZ9" i="5"/>
  <c r="AX9" i="5"/>
  <c r="AV9" i="5"/>
  <c r="AT9" i="5"/>
  <c r="AR9" i="5"/>
  <c r="AP9" i="5"/>
  <c r="AN9" i="5"/>
  <c r="AL9" i="5"/>
  <c r="AJ9" i="5"/>
  <c r="AH9" i="5"/>
  <c r="AF9" i="5"/>
  <c r="B9" i="5"/>
  <c r="BB8" i="5"/>
  <c r="AZ8" i="5"/>
  <c r="AX8" i="5"/>
  <c r="AV8" i="5"/>
  <c r="AT8" i="5"/>
  <c r="AR8" i="5"/>
  <c r="AP8" i="5"/>
  <c r="AN8" i="5"/>
  <c r="AL8" i="5"/>
  <c r="AJ8" i="5"/>
  <c r="AH8" i="5"/>
  <c r="AF8" i="5"/>
  <c r="B8" i="5"/>
  <c r="BB7" i="5"/>
  <c r="AZ7" i="5"/>
  <c r="AX7" i="5"/>
  <c r="AV7" i="5"/>
  <c r="AT7" i="5"/>
  <c r="AR7" i="5"/>
  <c r="AP7" i="5"/>
  <c r="AN7" i="5"/>
  <c r="AL7" i="5"/>
  <c r="AJ7" i="5"/>
  <c r="AH7" i="5"/>
  <c r="AF7" i="5"/>
  <c r="B7" i="5"/>
  <c r="BB6" i="5"/>
  <c r="AZ6" i="5"/>
  <c r="AX6" i="5"/>
  <c r="AV6" i="5"/>
  <c r="AT6" i="5"/>
  <c r="AR6" i="5"/>
  <c r="AP6" i="5"/>
  <c r="AN6" i="5"/>
  <c r="AL6" i="5"/>
  <c r="AJ6" i="5"/>
  <c r="AH6" i="5"/>
  <c r="AF6" i="5"/>
  <c r="B6" i="5"/>
  <c r="BB5" i="5"/>
  <c r="AZ5" i="5"/>
  <c r="AX5" i="5"/>
  <c r="AV5" i="5"/>
  <c r="AT5" i="5"/>
  <c r="AR5" i="5"/>
  <c r="AP5" i="5"/>
  <c r="AN5" i="5"/>
  <c r="AL5" i="5"/>
  <c r="AJ5" i="5"/>
  <c r="AH5" i="5"/>
  <c r="AF5" i="5"/>
  <c r="B5" i="5"/>
  <c r="B17" i="5" s="1"/>
  <c r="BB4" i="5"/>
  <c r="AZ4" i="5"/>
  <c r="AX4" i="5"/>
  <c r="AV4" i="5"/>
  <c r="AT4" i="5"/>
  <c r="AR4" i="5"/>
  <c r="AP4" i="5"/>
  <c r="AN4" i="5"/>
  <c r="AL4" i="5"/>
  <c r="AJ4" i="5"/>
  <c r="AH4" i="5"/>
  <c r="AF4" i="5"/>
  <c r="BB3" i="5"/>
  <c r="AZ3" i="5"/>
  <c r="AX3" i="5"/>
  <c r="AV3" i="5"/>
  <c r="AT3" i="5"/>
  <c r="AR3" i="5"/>
  <c r="AP3" i="5"/>
  <c r="AN3" i="5"/>
  <c r="AL3" i="5"/>
  <c r="AJ3" i="5"/>
  <c r="AH3" i="5"/>
  <c r="AF3" i="5"/>
  <c r="AD3" i="5"/>
  <c r="C16" i="5" s="1"/>
  <c r="D16" i="5" s="1"/>
  <c r="AB3" i="5"/>
  <c r="C15" i="5" s="1"/>
  <c r="D15" i="5" s="1"/>
  <c r="Z3" i="5"/>
  <c r="C14" i="5" s="1"/>
  <c r="D14" i="5" s="1"/>
  <c r="X3" i="5"/>
  <c r="C13" i="5" s="1"/>
  <c r="D13" i="5" s="1"/>
  <c r="V3" i="5"/>
  <c r="C12" i="5" s="1"/>
  <c r="D12" i="5" s="1"/>
  <c r="T3" i="5"/>
  <c r="C11" i="5" s="1"/>
  <c r="D11" i="5" s="1"/>
  <c r="R3" i="5"/>
  <c r="C10" i="5" s="1"/>
  <c r="D10" i="5" s="1"/>
  <c r="P3" i="5"/>
  <c r="C9" i="5" s="1"/>
  <c r="D9" i="5" s="1"/>
  <c r="N3" i="5"/>
  <c r="C8" i="5" s="1"/>
  <c r="D8" i="5" s="1"/>
  <c r="L3" i="5"/>
  <c r="C7" i="5" s="1"/>
  <c r="D7" i="5" s="1"/>
  <c r="J3" i="5"/>
  <c r="C6" i="5" s="1"/>
  <c r="D6" i="5" s="1"/>
  <c r="H3" i="5"/>
  <c r="C5" i="5" s="1"/>
  <c r="DJ2" i="5"/>
  <c r="T128" i="3"/>
  <c r="T127" i="3"/>
  <c r="T126" i="3"/>
  <c r="T125" i="3"/>
  <c r="T124" i="3"/>
  <c r="L124" i="3" s="1"/>
  <c r="T123" i="3"/>
  <c r="T122" i="3"/>
  <c r="L122" i="3" s="1"/>
  <c r="T121" i="3"/>
  <c r="T120" i="3"/>
  <c r="T119" i="3"/>
  <c r="T118" i="3"/>
  <c r="T117" i="3"/>
  <c r="T116" i="3"/>
  <c r="L116" i="3" s="1"/>
  <c r="T115" i="3"/>
  <c r="T114" i="3"/>
  <c r="T113" i="3"/>
  <c r="T112" i="3"/>
  <c r="T111" i="3"/>
  <c r="T110" i="3"/>
  <c r="T109" i="3"/>
  <c r="T108" i="3"/>
  <c r="L108" i="3" s="1"/>
  <c r="T107" i="3"/>
  <c r="T106" i="3"/>
  <c r="R106" i="3"/>
  <c r="J106" i="3" s="1"/>
  <c r="P106" i="3"/>
  <c r="T105" i="3"/>
  <c r="R105" i="3"/>
  <c r="J105" i="3" s="1"/>
  <c r="P105" i="3"/>
  <c r="T104" i="3"/>
  <c r="R104" i="3"/>
  <c r="J104" i="3" s="1"/>
  <c r="P104" i="3"/>
  <c r="T103" i="3"/>
  <c r="R103" i="3"/>
  <c r="P103" i="3"/>
  <c r="T102" i="3"/>
  <c r="L102" i="3" s="1"/>
  <c r="R102" i="3"/>
  <c r="P102" i="3"/>
  <c r="H102" i="3" s="1"/>
  <c r="T101" i="3"/>
  <c r="L101" i="3" s="1"/>
  <c r="R101" i="3"/>
  <c r="P101" i="3"/>
  <c r="T100" i="3"/>
  <c r="L100" i="3" s="1"/>
  <c r="R100" i="3"/>
  <c r="P100" i="3"/>
  <c r="T99" i="3"/>
  <c r="R99" i="3"/>
  <c r="J99" i="3" s="1"/>
  <c r="P99" i="3"/>
  <c r="H99" i="3" s="1"/>
  <c r="T98" i="3"/>
  <c r="R98" i="3"/>
  <c r="J98" i="3" s="1"/>
  <c r="P98" i="3"/>
  <c r="T97" i="3"/>
  <c r="R97" i="3"/>
  <c r="P97" i="3"/>
  <c r="T96" i="3"/>
  <c r="L96" i="3" s="1"/>
  <c r="R96" i="3"/>
  <c r="P96" i="3"/>
  <c r="T95" i="3"/>
  <c r="R95" i="3"/>
  <c r="P95" i="3"/>
  <c r="T94" i="3"/>
  <c r="L94" i="3" s="1"/>
  <c r="R94" i="3"/>
  <c r="P94" i="3"/>
  <c r="H94" i="3" s="1"/>
  <c r="T93" i="3"/>
  <c r="R93" i="3"/>
  <c r="P93" i="3"/>
  <c r="T92" i="3"/>
  <c r="R92" i="3"/>
  <c r="P92" i="3"/>
  <c r="T91" i="3"/>
  <c r="L91" i="3" s="1"/>
  <c r="R91" i="3"/>
  <c r="J91" i="3" s="1"/>
  <c r="P91" i="3"/>
  <c r="H91" i="3" s="1"/>
  <c r="T90" i="3"/>
  <c r="L90" i="3" s="1"/>
  <c r="R90" i="3"/>
  <c r="P90" i="3"/>
  <c r="T89" i="3"/>
  <c r="R89" i="3"/>
  <c r="P89" i="3"/>
  <c r="T88" i="3"/>
  <c r="R88" i="3"/>
  <c r="P88" i="3"/>
  <c r="T87" i="3"/>
  <c r="R87" i="3"/>
  <c r="P87" i="3"/>
  <c r="H87" i="3" s="1"/>
  <c r="T86" i="3"/>
  <c r="R86" i="3"/>
  <c r="P86" i="3"/>
  <c r="T85" i="3"/>
  <c r="L85" i="3" s="1"/>
  <c r="R85" i="3"/>
  <c r="P85" i="3"/>
  <c r="T84" i="3"/>
  <c r="L84" i="3" s="1"/>
  <c r="R84" i="3"/>
  <c r="J84" i="3" s="1"/>
  <c r="P84" i="3"/>
  <c r="T83" i="3"/>
  <c r="L83" i="3" s="1"/>
  <c r="R83" i="3"/>
  <c r="P83" i="3"/>
  <c r="H83" i="3" s="1"/>
  <c r="T82" i="3"/>
  <c r="R82" i="3"/>
  <c r="J82" i="3" s="1"/>
  <c r="P82" i="3"/>
  <c r="T81" i="3"/>
  <c r="R81" i="3"/>
  <c r="P81" i="3"/>
  <c r="T80" i="3"/>
  <c r="R80" i="3"/>
  <c r="P80" i="3"/>
  <c r="T79" i="3"/>
  <c r="L79" i="3" s="1"/>
  <c r="R79" i="3"/>
  <c r="J79" i="3" s="1"/>
  <c r="P79" i="3"/>
  <c r="T78" i="3"/>
  <c r="R78" i="3"/>
  <c r="P78" i="3"/>
  <c r="H78" i="3" s="1"/>
  <c r="T77" i="3"/>
  <c r="L77" i="3" s="1"/>
  <c r="R77" i="3"/>
  <c r="P77" i="3"/>
  <c r="T76" i="3"/>
  <c r="R76" i="3"/>
  <c r="P76" i="3"/>
  <c r="T75" i="3"/>
  <c r="R75" i="3"/>
  <c r="J75" i="3" s="1"/>
  <c r="P75" i="3"/>
  <c r="T74" i="3"/>
  <c r="R74" i="3"/>
  <c r="J74" i="3" s="1"/>
  <c r="P74" i="3"/>
  <c r="T73" i="3"/>
  <c r="L73" i="3" s="1"/>
  <c r="R73" i="3"/>
  <c r="J73" i="3" s="1"/>
  <c r="P73" i="3"/>
  <c r="H73" i="3" s="1"/>
  <c r="T72" i="3"/>
  <c r="R72" i="3"/>
  <c r="P72" i="3"/>
  <c r="T71" i="3"/>
  <c r="R71" i="3"/>
  <c r="P71" i="3"/>
  <c r="T70" i="3"/>
  <c r="R70" i="3"/>
  <c r="P70" i="3"/>
  <c r="T69" i="3"/>
  <c r="R69" i="3"/>
  <c r="P69" i="3"/>
  <c r="H69" i="3" s="1"/>
  <c r="T68" i="3"/>
  <c r="L68" i="3" s="1"/>
  <c r="R68" i="3"/>
  <c r="P68" i="3"/>
  <c r="H68" i="3" s="1"/>
  <c r="T67" i="3"/>
  <c r="R67" i="3"/>
  <c r="P67" i="3"/>
  <c r="T66" i="3"/>
  <c r="R66" i="3"/>
  <c r="J66" i="3" s="1"/>
  <c r="P66" i="3"/>
  <c r="T65" i="3"/>
  <c r="R65" i="3"/>
  <c r="P65" i="3"/>
  <c r="T64" i="3"/>
  <c r="R64" i="3"/>
  <c r="P64" i="3"/>
  <c r="H64" i="3" s="1"/>
  <c r="T63" i="3"/>
  <c r="R63" i="3"/>
  <c r="P63" i="3"/>
  <c r="H63" i="3" s="1"/>
  <c r="T62" i="3"/>
  <c r="R62" i="3"/>
  <c r="P62" i="3"/>
  <c r="T61" i="3"/>
  <c r="R61" i="3"/>
  <c r="P61" i="3"/>
  <c r="T60" i="3"/>
  <c r="R60" i="3"/>
  <c r="P60" i="3"/>
  <c r="T59" i="3"/>
  <c r="R59" i="3"/>
  <c r="P59" i="3"/>
  <c r="T58" i="3"/>
  <c r="R58" i="3"/>
  <c r="P58" i="3"/>
  <c r="T57" i="3"/>
  <c r="R57" i="3"/>
  <c r="J57" i="3" s="1"/>
  <c r="P57" i="3"/>
  <c r="T56" i="3"/>
  <c r="R56" i="3"/>
  <c r="J56" i="3" s="1"/>
  <c r="P56" i="3"/>
  <c r="T55" i="3"/>
  <c r="L55" i="3" s="1"/>
  <c r="R55" i="3"/>
  <c r="P55" i="3"/>
  <c r="T54" i="3"/>
  <c r="R54" i="3"/>
  <c r="P54" i="3"/>
  <c r="T53" i="3"/>
  <c r="L53" i="3" s="1"/>
  <c r="R53" i="3"/>
  <c r="P53" i="3"/>
  <c r="T52" i="3"/>
  <c r="L52" i="3" s="1"/>
  <c r="R52" i="3"/>
  <c r="P52" i="3"/>
  <c r="T51" i="3"/>
  <c r="R51" i="3"/>
  <c r="P51" i="3"/>
  <c r="T50" i="3"/>
  <c r="R50" i="3"/>
  <c r="P50" i="3"/>
  <c r="T49" i="3"/>
  <c r="R49" i="3"/>
  <c r="P49" i="3"/>
  <c r="T48" i="3"/>
  <c r="L48" i="3" s="1"/>
  <c r="R48" i="3"/>
  <c r="J48" i="3" s="1"/>
  <c r="P48" i="3"/>
  <c r="H48" i="3" s="1"/>
  <c r="T47" i="3"/>
  <c r="R47" i="3"/>
  <c r="P47" i="3"/>
  <c r="T46" i="3"/>
  <c r="R46" i="3"/>
  <c r="P46" i="3"/>
  <c r="T45" i="3"/>
  <c r="R45" i="3"/>
  <c r="J45" i="3" s="1"/>
  <c r="P45" i="3"/>
  <c r="T44" i="3"/>
  <c r="R44" i="3"/>
  <c r="P44" i="3"/>
  <c r="T43" i="3"/>
  <c r="L43" i="3" s="1"/>
  <c r="R43" i="3"/>
  <c r="J43" i="3" s="1"/>
  <c r="P43" i="3"/>
  <c r="H43" i="3" s="1"/>
  <c r="T42" i="3"/>
  <c r="L42" i="3" s="1"/>
  <c r="R42" i="3"/>
  <c r="J42" i="3" s="1"/>
  <c r="P42" i="3"/>
  <c r="T41" i="3"/>
  <c r="R41" i="3"/>
  <c r="P41" i="3"/>
  <c r="H41" i="3" s="1"/>
  <c r="T40" i="3"/>
  <c r="L40" i="3" s="1"/>
  <c r="R40" i="3"/>
  <c r="P40" i="3"/>
  <c r="H40" i="3" s="1"/>
  <c r="T39" i="3"/>
  <c r="R39" i="3"/>
  <c r="P39" i="3"/>
  <c r="T38" i="3"/>
  <c r="R38" i="3"/>
  <c r="J38" i="3" s="1"/>
  <c r="P38" i="3"/>
  <c r="T37" i="3"/>
  <c r="R37" i="3"/>
  <c r="P37" i="3"/>
  <c r="T36" i="3"/>
  <c r="R36" i="3"/>
  <c r="J36" i="3" s="1"/>
  <c r="P36" i="3"/>
  <c r="T35" i="3"/>
  <c r="L35" i="3" s="1"/>
  <c r="R35" i="3"/>
  <c r="P35" i="3"/>
  <c r="T34" i="3"/>
  <c r="R34" i="3"/>
  <c r="J34" i="3" s="1"/>
  <c r="P34" i="3"/>
  <c r="T33" i="3"/>
  <c r="L33" i="3" s="1"/>
  <c r="R33" i="3"/>
  <c r="P33" i="3"/>
  <c r="T32" i="3"/>
  <c r="L32" i="3" s="1"/>
  <c r="R32" i="3"/>
  <c r="J32" i="3" s="1"/>
  <c r="P32" i="3"/>
  <c r="H32" i="3" s="1"/>
  <c r="T31" i="3"/>
  <c r="R31" i="3"/>
  <c r="P31" i="3"/>
  <c r="H31" i="3" s="1"/>
  <c r="T30" i="3"/>
  <c r="L30" i="3" s="1"/>
  <c r="R30" i="3"/>
  <c r="P30" i="3"/>
  <c r="T29" i="3"/>
  <c r="R29" i="3"/>
  <c r="P29" i="3"/>
  <c r="T28" i="3"/>
  <c r="R28" i="3"/>
  <c r="P28" i="3"/>
  <c r="T27" i="3"/>
  <c r="L27" i="3" s="1"/>
  <c r="R27" i="3"/>
  <c r="J27" i="3" s="1"/>
  <c r="P27" i="3"/>
  <c r="T26" i="3"/>
  <c r="R26" i="3"/>
  <c r="P26" i="3"/>
  <c r="T25" i="3"/>
  <c r="R25" i="3"/>
  <c r="P25" i="3"/>
  <c r="H25" i="3" s="1"/>
  <c r="T24" i="3"/>
  <c r="R24" i="3"/>
  <c r="P24" i="3"/>
  <c r="H24" i="3" s="1"/>
  <c r="T23" i="3"/>
  <c r="R23" i="3"/>
  <c r="P23" i="3"/>
  <c r="T22" i="3"/>
  <c r="R22" i="3"/>
  <c r="P22" i="3"/>
  <c r="T21" i="3"/>
  <c r="L21" i="3" s="1"/>
  <c r="R21" i="3"/>
  <c r="P21" i="3"/>
  <c r="H21" i="3" s="1"/>
  <c r="T20" i="3"/>
  <c r="R20" i="3"/>
  <c r="P20" i="3"/>
  <c r="T19" i="3"/>
  <c r="R19" i="3"/>
  <c r="P19" i="3"/>
  <c r="T18" i="3"/>
  <c r="R18" i="3"/>
  <c r="P18" i="3"/>
  <c r="T17" i="3"/>
  <c r="R17" i="3"/>
  <c r="P17" i="3"/>
  <c r="H17" i="3" s="1"/>
  <c r="T16" i="3"/>
  <c r="L16" i="3" s="1"/>
  <c r="R16" i="3"/>
  <c r="P16" i="3"/>
  <c r="T15" i="3"/>
  <c r="L15" i="3" s="1"/>
  <c r="R15" i="3"/>
  <c r="P15" i="3"/>
  <c r="H15" i="3" s="1"/>
  <c r="V14" i="3"/>
  <c r="T14" i="3"/>
  <c r="R14" i="3"/>
  <c r="P14" i="3"/>
  <c r="V13" i="3"/>
  <c r="N13" i="3" s="1"/>
  <c r="T13" i="3"/>
  <c r="R13" i="3"/>
  <c r="J13" i="3" s="1"/>
  <c r="P13" i="3"/>
  <c r="H13" i="3" s="1"/>
  <c r="V12" i="3"/>
  <c r="T12" i="3"/>
  <c r="R12" i="3"/>
  <c r="P12" i="3"/>
  <c r="V11" i="3"/>
  <c r="T11" i="3"/>
  <c r="R11" i="3"/>
  <c r="P11" i="3"/>
  <c r="H11" i="3" s="1"/>
  <c r="V10" i="3"/>
  <c r="T10" i="3"/>
  <c r="R10" i="3"/>
  <c r="P10" i="3"/>
  <c r="V9" i="3"/>
  <c r="N9" i="3" s="1"/>
  <c r="T9" i="3"/>
  <c r="L9" i="3" s="1"/>
  <c r="R9" i="3"/>
  <c r="P9" i="3"/>
  <c r="V8" i="3"/>
  <c r="N8" i="3" s="1"/>
  <c r="T8" i="3"/>
  <c r="L8" i="3" s="1"/>
  <c r="R8" i="3"/>
  <c r="J8" i="3" s="1"/>
  <c r="P8" i="3"/>
  <c r="B8" i="3"/>
  <c r="V7" i="3"/>
  <c r="T7" i="3"/>
  <c r="R7" i="3"/>
  <c r="P7" i="3"/>
  <c r="H7" i="3" s="1"/>
  <c r="B7" i="3"/>
  <c r="V6" i="3"/>
  <c r="N6" i="3" s="1"/>
  <c r="T6" i="3"/>
  <c r="R6" i="3"/>
  <c r="P6" i="3"/>
  <c r="B6" i="3"/>
  <c r="V5" i="3"/>
  <c r="T5" i="3"/>
  <c r="R5" i="3"/>
  <c r="P5" i="3"/>
  <c r="B5" i="3"/>
  <c r="V4" i="3"/>
  <c r="T4" i="3"/>
  <c r="R4" i="3"/>
  <c r="P4" i="3"/>
  <c r="V3" i="3"/>
  <c r="T3" i="3"/>
  <c r="R3" i="3"/>
  <c r="P3" i="3"/>
  <c r="N3" i="3"/>
  <c r="L3" i="3"/>
  <c r="J3" i="3"/>
  <c r="H3" i="3"/>
  <c r="CP2" i="3"/>
  <c r="B13" i="1"/>
  <c r="B12" i="1"/>
  <c r="B11" i="1"/>
  <c r="B10" i="1"/>
  <c r="B9" i="1"/>
  <c r="B8" i="1"/>
  <c r="B7" i="1"/>
  <c r="B6" i="1"/>
  <c r="B5" i="1"/>
  <c r="X3" i="1"/>
  <c r="V3" i="1"/>
  <c r="C12" i="1" s="1"/>
  <c r="D12" i="1" s="1"/>
  <c r="T3" i="1"/>
  <c r="R3" i="1"/>
  <c r="C10" i="1" s="1"/>
  <c r="D10" i="1" s="1"/>
  <c r="P3" i="1"/>
  <c r="C9" i="1" s="1"/>
  <c r="N3" i="1"/>
  <c r="L3" i="1"/>
  <c r="J3" i="1"/>
  <c r="H3" i="1"/>
  <c r="DJ2" i="1"/>
  <c r="C8" i="3" l="1"/>
  <c r="D8" i="3" s="1"/>
  <c r="B14" i="1"/>
  <c r="C7" i="3"/>
  <c r="D7" i="3" s="1"/>
  <c r="C6" i="3"/>
  <c r="D6" i="3" s="1"/>
  <c r="B9" i="3"/>
  <c r="C5" i="3"/>
  <c r="C9" i="3" s="1"/>
  <c r="D9" i="3" s="1"/>
  <c r="D9" i="1"/>
  <c r="C8" i="1"/>
  <c r="D8" i="1" s="1"/>
  <c r="C13" i="1"/>
  <c r="D13" i="1" s="1"/>
  <c r="C11" i="1"/>
  <c r="D11" i="1" s="1"/>
  <c r="C7" i="1"/>
  <c r="D7" i="1" s="1"/>
  <c r="C6" i="1"/>
  <c r="D6" i="1" s="1"/>
  <c r="C5" i="1"/>
  <c r="D5" i="1"/>
  <c r="C17" i="5"/>
  <c r="D17" i="5" s="1"/>
  <c r="D5" i="5"/>
  <c r="D5" i="3"/>
  <c r="C9" i="6"/>
  <c r="D9" i="6" s="1"/>
  <c r="C14" i="1" l="1"/>
  <c r="D14" i="1" s="1"/>
</calcChain>
</file>

<file path=xl/sharedStrings.xml><?xml version="1.0" encoding="utf-8"?>
<sst xmlns="http://schemas.openxmlformats.org/spreadsheetml/2006/main" count="6583" uniqueCount="5750">
  <si>
    <t xml:space="preserve">               3-1横向测试</t>
  </si>
  <si>
    <t xml:space="preserve">               3-2横向测试</t>
  </si>
  <si>
    <t xml:space="preserve">               3-3横向测试</t>
  </si>
  <si>
    <t xml:space="preserve">               3-4横向测试</t>
  </si>
  <si>
    <t xml:space="preserve">               3-5横向测试</t>
  </si>
  <si>
    <t xml:space="preserve">               3-6横向测试</t>
  </si>
  <si>
    <t xml:space="preserve">               3-7横向测试</t>
  </si>
  <si>
    <t xml:space="preserve">               3-8横向测试</t>
  </si>
  <si>
    <t xml:space="preserve">               3-9横向测试</t>
  </si>
  <si>
    <t>3-1横向测试答案</t>
  </si>
  <si>
    <t>3-2横向测试答案</t>
  </si>
  <si>
    <t>3-3横向测试答案</t>
  </si>
  <si>
    <t>3-4横向测试答案</t>
  </si>
  <si>
    <t>3-5横向测试答案</t>
  </si>
  <si>
    <t>3-6横向测试答案</t>
  </si>
  <si>
    <t>3-7横向测试答案</t>
  </si>
  <si>
    <t>3-8横向测试答案</t>
  </si>
  <si>
    <t>3-9横向测试答案</t>
  </si>
  <si>
    <t>智慧语料库</t>
  </si>
  <si>
    <t>My answer</t>
  </si>
  <si>
    <t>Corrective answer</t>
  </si>
  <si>
    <t>Y/N</t>
  </si>
  <si>
    <t>Right answer</t>
  </si>
  <si>
    <t>这一行不要动有公式!  --&gt;</t>
  </si>
  <si>
    <t>ability</t>
  </si>
  <si>
    <t>cabinet</t>
  </si>
  <si>
    <t>debt</t>
  </si>
  <si>
    <t xml:space="preserve">faculty </t>
  </si>
  <si>
    <t>hotel</t>
  </si>
  <si>
    <t>moustache</t>
  </si>
  <si>
    <t>potteries</t>
  </si>
  <si>
    <t>roommates</t>
  </si>
  <si>
    <t>taxi</t>
  </si>
  <si>
    <t>单元</t>
  </si>
  <si>
    <t>单词数</t>
  </si>
  <si>
    <t>正确数</t>
  </si>
  <si>
    <t>正确率</t>
  </si>
  <si>
    <t>abstract</t>
  </si>
  <si>
    <t>cable</t>
  </si>
  <si>
    <t>decade</t>
  </si>
  <si>
    <t>failure</t>
  </si>
  <si>
    <t>hotline</t>
  </si>
  <si>
    <t>mouth</t>
  </si>
  <si>
    <t>power</t>
  </si>
  <si>
    <t>route</t>
  </si>
  <si>
    <t>tea</t>
  </si>
  <si>
    <t>3-1横向测试</t>
  </si>
  <si>
    <t>accountant</t>
  </si>
  <si>
    <t>cafe</t>
  </si>
  <si>
    <t>decision</t>
  </si>
  <si>
    <t>falcon</t>
  </si>
  <si>
    <t>hunt</t>
  </si>
  <si>
    <t>movie</t>
  </si>
  <si>
    <t>powerpoint</t>
  </si>
  <si>
    <t>rule</t>
  </si>
  <si>
    <t>teacher</t>
  </si>
  <si>
    <t>3-2横向测试</t>
  </si>
  <si>
    <t>accuracy</t>
  </si>
  <si>
    <t>cafeteria</t>
  </si>
  <si>
    <t>decline</t>
  </si>
  <si>
    <t>fan</t>
  </si>
  <si>
    <t>hunting</t>
  </si>
  <si>
    <t>muscle</t>
  </si>
  <si>
    <t>precaution</t>
  </si>
  <si>
    <t>safari</t>
  </si>
  <si>
    <t>teaching</t>
  </si>
  <si>
    <t>3-3横向测试</t>
  </si>
  <si>
    <t>acid</t>
  </si>
  <si>
    <t>cage</t>
  </si>
  <si>
    <t>decorations</t>
  </si>
  <si>
    <t>fare</t>
  </si>
  <si>
    <t>idea</t>
  </si>
  <si>
    <t>museum</t>
  </si>
  <si>
    <t>precision</t>
  </si>
  <si>
    <t>safety</t>
  </si>
  <si>
    <t>team</t>
  </si>
  <si>
    <t>3-4横向测试</t>
  </si>
  <si>
    <t>action</t>
  </si>
  <si>
    <t>Cambridge</t>
  </si>
  <si>
    <t>delay</t>
  </si>
  <si>
    <t>farm</t>
  </si>
  <si>
    <t>identification</t>
  </si>
  <si>
    <t>music</t>
  </si>
  <si>
    <t>preference</t>
  </si>
  <si>
    <t>sail</t>
  </si>
  <si>
    <t>jargon</t>
  </si>
  <si>
    <t>3-5横向测试</t>
  </si>
  <si>
    <t>activity</t>
  </si>
  <si>
    <t>camel</t>
  </si>
  <si>
    <t>delegate</t>
  </si>
  <si>
    <t>farmer</t>
  </si>
  <si>
    <t>identity</t>
  </si>
  <si>
    <t>musical</t>
  </si>
  <si>
    <t>preposition</t>
  </si>
  <si>
    <t>sailing</t>
  </si>
  <si>
    <t>term</t>
  </si>
  <si>
    <t>3-6横向测试</t>
  </si>
  <si>
    <t>actor</t>
  </si>
  <si>
    <t>camera</t>
  </si>
  <si>
    <t>delight</t>
  </si>
  <si>
    <t>farming</t>
  </si>
  <si>
    <t>image</t>
  </si>
  <si>
    <t>musician</t>
  </si>
  <si>
    <t>prescription</t>
  </si>
  <si>
    <t>salad</t>
  </si>
  <si>
    <t>technology</t>
  </si>
  <si>
    <t>3-7横向测试</t>
  </si>
  <si>
    <t>adult</t>
  </si>
  <si>
    <t>camp</t>
  </si>
  <si>
    <t>delivery</t>
  </si>
  <si>
    <t>fashion</t>
  </si>
  <si>
    <t>impact</t>
  </si>
  <si>
    <t>nap</t>
  </si>
  <si>
    <t>presentation</t>
  </si>
  <si>
    <t>salads</t>
  </si>
  <si>
    <t>teeth</t>
  </si>
  <si>
    <t>3-8横向测试</t>
  </si>
  <si>
    <t>adventure</t>
  </si>
  <si>
    <t>campus</t>
  </si>
  <si>
    <t>demonstration</t>
  </si>
  <si>
    <t>fat</t>
  </si>
  <si>
    <t>imports</t>
  </si>
  <si>
    <t>nature</t>
  </si>
  <si>
    <t>preservation</t>
  </si>
  <si>
    <t>salary</t>
  </si>
  <si>
    <t>telephone</t>
  </si>
  <si>
    <t>3-9横向测试</t>
  </si>
  <si>
    <t>advertisements</t>
  </si>
  <si>
    <t>candidate</t>
  </si>
  <si>
    <t>dentist</t>
  </si>
  <si>
    <t>feast</t>
  </si>
  <si>
    <t>inability</t>
  </si>
  <si>
    <t>naught=nought</t>
  </si>
  <si>
    <t>president</t>
  </si>
  <si>
    <t>sale</t>
  </si>
  <si>
    <t>telescope</t>
  </si>
  <si>
    <t>累计</t>
  </si>
  <si>
    <t>advertising</t>
  </si>
  <si>
    <t>candle</t>
  </si>
  <si>
    <t>department</t>
  </si>
  <si>
    <t>feather</t>
  </si>
  <si>
    <t>incoming</t>
  </si>
  <si>
    <t>neck</t>
  </si>
  <si>
    <t>prevention</t>
  </si>
  <si>
    <t>salt</t>
  </si>
  <si>
    <t>television</t>
  </si>
  <si>
    <t>advice</t>
  </si>
  <si>
    <t>canteen</t>
  </si>
  <si>
    <t>deposit</t>
  </si>
  <si>
    <t>feature</t>
  </si>
  <si>
    <t>index</t>
  </si>
  <si>
    <t>net</t>
  </si>
  <si>
    <t>printing</t>
  </si>
  <si>
    <t>sample</t>
  </si>
  <si>
    <t>temper</t>
  </si>
  <si>
    <t>age</t>
  </si>
  <si>
    <t>capital</t>
  </si>
  <si>
    <t>depth</t>
  </si>
  <si>
    <t>feedback</t>
  </si>
  <si>
    <t>industry</t>
  </si>
  <si>
    <t>newspaper</t>
  </si>
  <si>
    <t>priority</t>
  </si>
  <si>
    <t>sandal</t>
  </si>
  <si>
    <t>temple</t>
  </si>
  <si>
    <t>agency</t>
  </si>
  <si>
    <t>capsule</t>
  </si>
  <si>
    <t>description</t>
  </si>
  <si>
    <t>fellowship</t>
  </si>
  <si>
    <t>infection</t>
  </si>
  <si>
    <t>night</t>
  </si>
  <si>
    <t>privacy</t>
  </si>
  <si>
    <t>satellite</t>
  </si>
  <si>
    <t>text</t>
  </si>
  <si>
    <t>agreement</t>
  </si>
  <si>
    <t>carbon</t>
  </si>
  <si>
    <t>desert</t>
  </si>
  <si>
    <t>female</t>
  </si>
  <si>
    <t>influence</t>
  </si>
  <si>
    <t>noise</t>
  </si>
  <si>
    <t>prize</t>
  </si>
  <si>
    <t>sauce</t>
  </si>
  <si>
    <t>texture</t>
  </si>
  <si>
    <t>agriculture</t>
  </si>
  <si>
    <t>design</t>
  </si>
  <si>
    <t>ferries</t>
  </si>
  <si>
    <t>information</t>
  </si>
  <si>
    <t>north</t>
  </si>
  <si>
    <t>problem</t>
  </si>
  <si>
    <t>saving</t>
  </si>
  <si>
    <t>galaxy</t>
  </si>
  <si>
    <t>aid</t>
  </si>
  <si>
    <t>career</t>
  </si>
  <si>
    <t>designer</t>
  </si>
  <si>
    <t>festival</t>
  </si>
  <si>
    <t>injection</t>
  </si>
  <si>
    <t>northeast</t>
  </si>
  <si>
    <t>product</t>
  </si>
  <si>
    <t>scale</t>
  </si>
  <si>
    <t>theft</t>
  </si>
  <si>
    <t>aim</t>
  </si>
  <si>
    <t>carpet</t>
  </si>
  <si>
    <t>desire</t>
  </si>
  <si>
    <t>field</t>
  </si>
  <si>
    <t>injury</t>
  </si>
  <si>
    <t>northwest</t>
  </si>
  <si>
    <t>production</t>
  </si>
  <si>
    <t>scandal</t>
  </si>
  <si>
    <t>theory</t>
  </si>
  <si>
    <t>air</t>
  </si>
  <si>
    <t>carving</t>
  </si>
  <si>
    <t>desk</t>
  </si>
  <si>
    <t>figure</t>
  </si>
  <si>
    <t>inland</t>
  </si>
  <si>
    <t>nose</t>
  </si>
  <si>
    <t>professors</t>
  </si>
  <si>
    <t>scandals</t>
  </si>
  <si>
    <t>therapist</t>
  </si>
  <si>
    <t>allergy</t>
  </si>
  <si>
    <t>cashier</t>
  </si>
  <si>
    <t>destination</t>
  </si>
  <si>
    <t>film</t>
  </si>
  <si>
    <t>insect</t>
  </si>
  <si>
    <t>note</t>
  </si>
  <si>
    <t>profit</t>
  </si>
  <si>
    <t>scar</t>
  </si>
  <si>
    <t>therapy</t>
  </si>
  <si>
    <t>alley</t>
  </si>
  <si>
    <t>castle</t>
  </si>
  <si>
    <t>detail</t>
  </si>
  <si>
    <t>finding</t>
  </si>
  <si>
    <t>insomnia</t>
  </si>
  <si>
    <t>notice</t>
  </si>
  <si>
    <t>project</t>
  </si>
  <si>
    <t>scent</t>
  </si>
  <si>
    <t>thesis</t>
  </si>
  <si>
    <t>allowance</t>
  </si>
  <si>
    <t>category</t>
  </si>
  <si>
    <t>diary</t>
  </si>
  <si>
    <t>finger</t>
  </si>
  <si>
    <t>institute</t>
  </si>
  <si>
    <t>nurse</t>
  </si>
  <si>
    <t>promotion</t>
  </si>
  <si>
    <t>schedule</t>
  </si>
  <si>
    <t>thief</t>
  </si>
  <si>
    <t xml:space="preserve">使用说明：
（1）wps用户:打开文件后点击上方提示的“启用宏”                                                                （2）excel用户：打开软件提示的禁止功能宏功能                                              （3）在My answer作答，完成后点击校正，错误则显示红色  （4）公众号后续更新其它单元表格，免费下载
</t>
  </si>
  <si>
    <t>alteration</t>
  </si>
  <si>
    <t>cathedral</t>
  </si>
  <si>
    <t>dictation</t>
  </si>
  <si>
    <t>firms</t>
  </si>
  <si>
    <t>institution</t>
  </si>
  <si>
    <t>nursery</t>
  </si>
  <si>
    <t>prone</t>
  </si>
  <si>
    <t>scheme</t>
  </si>
  <si>
    <t>thieves</t>
  </si>
  <si>
    <t>altitude</t>
  </si>
  <si>
    <t>cause</t>
  </si>
  <si>
    <t>diet</t>
  </si>
  <si>
    <t>fish</t>
  </si>
  <si>
    <t>instruction</t>
  </si>
  <si>
    <t>nursing</t>
  </si>
  <si>
    <t>property</t>
  </si>
  <si>
    <t>scholar</t>
  </si>
  <si>
    <t>thinking</t>
  </si>
  <si>
    <t>ambition</t>
  </si>
  <si>
    <t>cave</t>
  </si>
  <si>
    <t>dining</t>
  </si>
  <si>
    <t>fishing</t>
  </si>
  <si>
    <t>instructor</t>
  </si>
  <si>
    <t>nut</t>
  </si>
  <si>
    <t>prospectus</t>
  </si>
  <si>
    <t>scholarship</t>
  </si>
  <si>
    <t>third</t>
  </si>
  <si>
    <t>ambulance</t>
  </si>
  <si>
    <t>cents</t>
  </si>
  <si>
    <t>dinners</t>
  </si>
  <si>
    <t>flag</t>
  </si>
  <si>
    <t>instrument</t>
  </si>
  <si>
    <t>nutrition</t>
  </si>
  <si>
    <t>protein</t>
  </si>
  <si>
    <t>science</t>
  </si>
  <si>
    <t>thought</t>
  </si>
  <si>
    <t>amount</t>
  </si>
  <si>
    <t>century</t>
  </si>
  <si>
    <t>dioxide</t>
  </si>
  <si>
    <t>flash</t>
  </si>
  <si>
    <t>interest</t>
  </si>
  <si>
    <t>objective</t>
  </si>
  <si>
    <t>psychiatrist</t>
  </si>
  <si>
    <t>scientist</t>
  </si>
  <si>
    <t>threat</t>
  </si>
  <si>
    <t>analysis</t>
  </si>
  <si>
    <t>certificate</t>
  </si>
  <si>
    <t>direction</t>
  </si>
  <si>
    <t>flat</t>
  </si>
  <si>
    <t>Internet</t>
  </si>
  <si>
    <t>occasion</t>
  </si>
  <si>
    <t>psychologist</t>
  </si>
  <si>
    <t>score</t>
  </si>
  <si>
    <t>thriller</t>
  </si>
  <si>
    <t>analyst</t>
  </si>
  <si>
    <t>chair</t>
  </si>
  <si>
    <t>director</t>
  </si>
  <si>
    <t>flight</t>
  </si>
  <si>
    <t>interviewer</t>
  </si>
  <si>
    <t>occupant</t>
  </si>
  <si>
    <t>psychotherapy</t>
  </si>
  <si>
    <t>script</t>
  </si>
  <si>
    <t>ticket</t>
  </si>
  <si>
    <t>anger</t>
  </si>
  <si>
    <t>chance</t>
  </si>
  <si>
    <t>disagreement</t>
  </si>
  <si>
    <t>flood</t>
  </si>
  <si>
    <t>introduction</t>
  </si>
  <si>
    <t>ocean</t>
  </si>
  <si>
    <t>publication</t>
  </si>
  <si>
    <t>sculpture</t>
  </si>
  <si>
    <t>tide</t>
  </si>
  <si>
    <t>animal</t>
  </si>
  <si>
    <t>chancellor</t>
  </si>
  <si>
    <t>disaster</t>
  </si>
  <si>
    <t>flooding</t>
  </si>
  <si>
    <t>investigator</t>
  </si>
  <si>
    <t>oculist</t>
  </si>
  <si>
    <t>pump</t>
  </si>
  <si>
    <t>sea</t>
  </si>
  <si>
    <t>tides</t>
  </si>
  <si>
    <t>ankle</t>
  </si>
  <si>
    <t>channel</t>
  </si>
  <si>
    <t>discipline</t>
  </si>
  <si>
    <t>flour</t>
  </si>
  <si>
    <t>investment</t>
  </si>
  <si>
    <t>ointment</t>
  </si>
  <si>
    <t>season</t>
  </si>
  <si>
    <t>tile</t>
  </si>
  <si>
    <t>answer</t>
  </si>
  <si>
    <t>chapter</t>
  </si>
  <si>
    <t>disco</t>
  </si>
  <si>
    <t>flourish</t>
  </si>
  <si>
    <t>irrigation</t>
  </si>
  <si>
    <t>option</t>
  </si>
  <si>
    <t>purse</t>
  </si>
  <si>
    <t>seat</t>
  </si>
  <si>
    <t>timber</t>
  </si>
  <si>
    <t>Antarctica</t>
  </si>
  <si>
    <t>character</t>
  </si>
  <si>
    <t>discomfort</t>
  </si>
  <si>
    <t>flow</t>
  </si>
  <si>
    <t>island</t>
  </si>
  <si>
    <t>order</t>
  </si>
  <si>
    <t>quality</t>
  </si>
  <si>
    <t>second</t>
  </si>
  <si>
    <t>time</t>
  </si>
  <si>
    <t>ape</t>
  </si>
  <si>
    <t>charge</t>
  </si>
  <si>
    <t>flu</t>
  </si>
  <si>
    <t>isolation</t>
  </si>
  <si>
    <t>ordinary</t>
  </si>
  <si>
    <t>quantity</t>
  </si>
  <si>
    <t>secretary</t>
  </si>
  <si>
    <t>title</t>
  </si>
  <si>
    <t>关注公众号 “智慧语料库” 会后续更新 所以非常关键</t>
  </si>
  <si>
    <t>appearance</t>
  </si>
  <si>
    <t>charity</t>
  </si>
  <si>
    <t>discount</t>
  </si>
  <si>
    <t>fly</t>
  </si>
  <si>
    <t>item</t>
  </si>
  <si>
    <t>organizer</t>
  </si>
  <si>
    <t>quarter</t>
  </si>
  <si>
    <t>section</t>
  </si>
  <si>
    <t>toaster</t>
  </si>
  <si>
    <t>architect</t>
  </si>
  <si>
    <t>chart</t>
  </si>
  <si>
    <t>discovery</t>
  </si>
  <si>
    <t>forest</t>
  </si>
  <si>
    <t>jacket</t>
  </si>
  <si>
    <t>original</t>
  </si>
  <si>
    <t>question</t>
  </si>
  <si>
    <t>sector</t>
  </si>
  <si>
    <t>toilet</t>
  </si>
  <si>
    <t>architectures</t>
  </si>
  <si>
    <t>chat</t>
  </si>
  <si>
    <t>disease</t>
  </si>
  <si>
    <t>forestry</t>
  </si>
  <si>
    <t>jam</t>
  </si>
  <si>
    <t>outline</t>
  </si>
  <si>
    <t>radar</t>
  </si>
  <si>
    <t>selection</t>
  </si>
  <si>
    <t>tomato</t>
  </si>
  <si>
    <t>area</t>
  </si>
  <si>
    <t>checklist</t>
  </si>
  <si>
    <t>dish</t>
  </si>
  <si>
    <t>form</t>
  </si>
  <si>
    <t>jaw</t>
  </si>
  <si>
    <t>overdraft</t>
  </si>
  <si>
    <t>radiator</t>
  </si>
  <si>
    <t>selections</t>
  </si>
  <si>
    <t>tone</t>
  </si>
  <si>
    <t>argument</t>
  </si>
  <si>
    <t>checks</t>
  </si>
  <si>
    <t>disposal</t>
  </si>
  <si>
    <t>formula</t>
  </si>
  <si>
    <t>jeans</t>
  </si>
  <si>
    <t>owner</t>
  </si>
  <si>
    <t>radio</t>
  </si>
  <si>
    <t>seminar</t>
  </si>
  <si>
    <t>tool</t>
  </si>
  <si>
    <t>aristocrat</t>
  </si>
  <si>
    <t>cheese</t>
  </si>
  <si>
    <t>dispute</t>
  </si>
  <si>
    <t>fortnight</t>
  </si>
  <si>
    <t>journal</t>
  </si>
  <si>
    <t>ownership</t>
  </si>
  <si>
    <t>railway</t>
  </si>
  <si>
    <t>sense</t>
  </si>
  <si>
    <t>top</t>
  </si>
  <si>
    <t>army</t>
  </si>
  <si>
    <t>chemist's</t>
  </si>
  <si>
    <t>distance</t>
  </si>
  <si>
    <t>fortune</t>
  </si>
  <si>
    <t>judge</t>
  </si>
  <si>
    <t>Oxford</t>
  </si>
  <si>
    <t>rain</t>
  </si>
  <si>
    <t>sentence</t>
  </si>
  <si>
    <t>topic</t>
  </si>
  <si>
    <t>art</t>
  </si>
  <si>
    <t>chest</t>
  </si>
  <si>
    <t>divorce</t>
  </si>
  <si>
    <t>foyer</t>
  </si>
  <si>
    <t>juice</t>
  </si>
  <si>
    <t>package</t>
  </si>
  <si>
    <t>rainfall</t>
  </si>
  <si>
    <t>servant</t>
  </si>
  <si>
    <t>total</t>
  </si>
  <si>
    <t>article</t>
  </si>
  <si>
    <t>chick</t>
  </si>
  <si>
    <t>document</t>
  </si>
  <si>
    <t>freedom</t>
  </si>
  <si>
    <t>junction</t>
  </si>
  <si>
    <t>page</t>
  </si>
  <si>
    <t>range</t>
  </si>
  <si>
    <t>service</t>
  </si>
  <si>
    <t>touching</t>
  </si>
  <si>
    <t>aspirin</t>
  </si>
  <si>
    <t>chicken</t>
  </si>
  <si>
    <t>documentary</t>
  </si>
  <si>
    <t>freezer</t>
  </si>
  <si>
    <t>junior</t>
  </si>
  <si>
    <t>paint</t>
  </si>
  <si>
    <t>rank</t>
  </si>
  <si>
    <t>sewage</t>
  </si>
  <si>
    <t>tour</t>
  </si>
  <si>
    <t>assignment</t>
  </si>
  <si>
    <t>child</t>
  </si>
  <si>
    <t>donation</t>
  </si>
  <si>
    <t>freshman</t>
  </si>
  <si>
    <t>keeper</t>
  </si>
  <si>
    <t>painting</t>
  </si>
  <si>
    <t>rat</t>
  </si>
  <si>
    <t>sewer</t>
  </si>
  <si>
    <t>atlas</t>
  </si>
  <si>
    <t>chin</t>
  </si>
  <si>
    <t>donkey</t>
  </si>
  <si>
    <t>fruit</t>
  </si>
  <si>
    <t>kelp</t>
  </si>
  <si>
    <t>pair</t>
  </si>
  <si>
    <t>rate</t>
  </si>
  <si>
    <t>sex</t>
  </si>
  <si>
    <t>tourism</t>
  </si>
  <si>
    <t>audience</t>
  </si>
  <si>
    <t>chocolate</t>
  </si>
  <si>
    <t>draft</t>
  </si>
  <si>
    <t>fur</t>
  </si>
  <si>
    <t>keyword</t>
  </si>
  <si>
    <t>pal</t>
  </si>
  <si>
    <t>rats</t>
  </si>
  <si>
    <t>shade</t>
  </si>
  <si>
    <t>tourist</t>
  </si>
  <si>
    <t>auditorium</t>
  </si>
  <si>
    <t>choice</t>
  </si>
  <si>
    <t>drama</t>
  </si>
  <si>
    <t>furniture</t>
  </si>
  <si>
    <t>kid</t>
  </si>
  <si>
    <t>palace</t>
  </si>
  <si>
    <t>ray</t>
  </si>
  <si>
    <t>sheep</t>
  </si>
  <si>
    <t>towel</t>
  </si>
  <si>
    <t>author</t>
  </si>
  <si>
    <t>church</t>
  </si>
  <si>
    <t>draw</t>
  </si>
  <si>
    <t>future</t>
  </si>
  <si>
    <t>king</t>
  </si>
  <si>
    <t>panic</t>
  </si>
  <si>
    <t>reader</t>
  </si>
  <si>
    <t>sheet</t>
  </si>
  <si>
    <t>tower</t>
  </si>
  <si>
    <t>authority</t>
  </si>
  <si>
    <t>cinema</t>
  </si>
  <si>
    <t>drawer</t>
  </si>
  <si>
    <t>gallery</t>
  </si>
  <si>
    <t>kiosk</t>
  </si>
  <si>
    <t>paper</t>
  </si>
  <si>
    <t>reading</t>
  </si>
  <si>
    <t>shelf</t>
  </si>
  <si>
    <t>town</t>
  </si>
  <si>
    <t>average</t>
  </si>
  <si>
    <t>circle</t>
  </si>
  <si>
    <t>drink</t>
  </si>
  <si>
    <t>gap</t>
  </si>
  <si>
    <t>kit</t>
  </si>
  <si>
    <t>parcel</t>
  </si>
  <si>
    <t>reason</t>
  </si>
  <si>
    <t>shell</t>
  </si>
  <si>
    <t>track</t>
  </si>
  <si>
    <t>award</t>
  </si>
  <si>
    <t>city</t>
  </si>
  <si>
    <t>drinking</t>
  </si>
  <si>
    <t>garage</t>
  </si>
  <si>
    <t>kitchen</t>
  </si>
  <si>
    <t>parent</t>
  </si>
  <si>
    <t>reception</t>
  </si>
  <si>
    <t>shelter</t>
  </si>
  <si>
    <t>tractor</t>
  </si>
  <si>
    <t>bachelor</t>
  </si>
  <si>
    <t>clarity</t>
  </si>
  <si>
    <t>driver</t>
  </si>
  <si>
    <t>garbage</t>
  </si>
  <si>
    <t>kits</t>
  </si>
  <si>
    <t>park</t>
  </si>
  <si>
    <t>recipe</t>
  </si>
  <si>
    <t>ship</t>
  </si>
  <si>
    <t>trade</t>
  </si>
  <si>
    <t>background</t>
  </si>
  <si>
    <t>cleaner</t>
  </si>
  <si>
    <t>driving</t>
  </si>
  <si>
    <t>garden</t>
  </si>
  <si>
    <t>knife</t>
  </si>
  <si>
    <t>parking</t>
  </si>
  <si>
    <t>recorder</t>
  </si>
  <si>
    <t>shoe</t>
  </si>
  <si>
    <t>tram</t>
  </si>
  <si>
    <t>bacteria</t>
  </si>
  <si>
    <t>cleaning</t>
  </si>
  <si>
    <t>drug</t>
  </si>
  <si>
    <t>gasoline</t>
  </si>
  <si>
    <t>knowledge</t>
  </si>
  <si>
    <t>participant</t>
  </si>
  <si>
    <t>recording</t>
  </si>
  <si>
    <t>shoplifters</t>
  </si>
  <si>
    <t>tragedy</t>
  </si>
  <si>
    <t>badge</t>
  </si>
  <si>
    <t>client</t>
  </si>
  <si>
    <t>drum</t>
  </si>
  <si>
    <t>gender</t>
  </si>
  <si>
    <t>koala</t>
  </si>
  <si>
    <t>passages</t>
  </si>
  <si>
    <t>recreation</t>
  </si>
  <si>
    <t>shopper</t>
  </si>
  <si>
    <t>trailer</t>
  </si>
  <si>
    <t>badminton</t>
  </si>
  <si>
    <t>cliffs</t>
  </si>
  <si>
    <t>due</t>
  </si>
  <si>
    <t>germ</t>
  </si>
  <si>
    <t>lab</t>
  </si>
  <si>
    <t>passenger</t>
  </si>
  <si>
    <t>recruit</t>
  </si>
  <si>
    <t>shortage</t>
  </si>
  <si>
    <t>training</t>
  </si>
  <si>
    <t>backpack</t>
  </si>
  <si>
    <t>climate</t>
  </si>
  <si>
    <t>duration</t>
  </si>
  <si>
    <t>gesture</t>
  </si>
  <si>
    <t>lake</t>
  </si>
  <si>
    <t>pastime</t>
  </si>
  <si>
    <t>recycling</t>
  </si>
  <si>
    <t>shower</t>
  </si>
  <si>
    <t>trend</t>
  </si>
  <si>
    <t>baldness</t>
  </si>
  <si>
    <t>clinic</t>
  </si>
  <si>
    <t>dust</t>
  </si>
  <si>
    <t>glass</t>
  </si>
  <si>
    <t>lamp</t>
  </si>
  <si>
    <t>patient</t>
  </si>
  <si>
    <t>referee</t>
  </si>
  <si>
    <t>side</t>
  </si>
  <si>
    <t>travel</t>
  </si>
  <si>
    <t>band</t>
  </si>
  <si>
    <t>clock</t>
  </si>
  <si>
    <t>duty</t>
  </si>
  <si>
    <t>goal</t>
  </si>
  <si>
    <t>land</t>
  </si>
  <si>
    <t>payment</t>
  </si>
  <si>
    <t>reference</t>
  </si>
  <si>
    <t>sight</t>
  </si>
  <si>
    <t>traveler</t>
  </si>
  <si>
    <t>bandage</t>
  </si>
  <si>
    <t>cloth</t>
  </si>
  <si>
    <t>eagle</t>
  </si>
  <si>
    <t>gold</t>
  </si>
  <si>
    <t>landmark</t>
  </si>
  <si>
    <t>pedestrian</t>
  </si>
  <si>
    <t>reflectance</t>
  </si>
  <si>
    <t>sign</t>
  </si>
  <si>
    <t>treatment</t>
  </si>
  <si>
    <t>bands</t>
  </si>
  <si>
    <t>clothing</t>
  </si>
  <si>
    <t>ear</t>
  </si>
  <si>
    <t>golf</t>
  </si>
  <si>
    <t>landscape</t>
  </si>
  <si>
    <t>pension</t>
  </si>
  <si>
    <t>reform</t>
  </si>
  <si>
    <t>signature</t>
  </si>
  <si>
    <t>trip</t>
  </si>
  <si>
    <t>bank</t>
  </si>
  <si>
    <t>club</t>
  </si>
  <si>
    <t>east</t>
  </si>
  <si>
    <t>grade</t>
  </si>
  <si>
    <t>language</t>
  </si>
  <si>
    <t>pensioners</t>
  </si>
  <si>
    <t>refuge</t>
  </si>
  <si>
    <t>silence .</t>
  </si>
  <si>
    <t>tribe</t>
  </si>
  <si>
    <t>banquet</t>
  </si>
  <si>
    <t>coach</t>
  </si>
  <si>
    <t>eating</t>
  </si>
  <si>
    <t>grades</t>
  </si>
  <si>
    <t>laptop</t>
  </si>
  <si>
    <t>percent</t>
  </si>
  <si>
    <t>region</t>
  </si>
  <si>
    <t>simulation</t>
  </si>
  <si>
    <t>tribute</t>
  </si>
  <si>
    <t>base</t>
  </si>
  <si>
    <t>coast</t>
  </si>
  <si>
    <t>economy</t>
  </si>
  <si>
    <t>graduate</t>
  </si>
  <si>
    <t>laser</t>
  </si>
  <si>
    <t>performer</t>
  </si>
  <si>
    <t>regulation</t>
  </si>
  <si>
    <t>single</t>
  </si>
  <si>
    <t>tributes</t>
  </si>
  <si>
    <t>basement</t>
  </si>
  <si>
    <t>code</t>
  </si>
  <si>
    <t>editor</t>
  </si>
  <si>
    <t>graduates</t>
  </si>
  <si>
    <t>lava</t>
  </si>
  <si>
    <t>perfume</t>
  </si>
  <si>
    <t>relation</t>
  </si>
  <si>
    <t>site</t>
  </si>
  <si>
    <t>Trinity</t>
  </si>
  <si>
    <t>bases</t>
  </si>
  <si>
    <t>coke</t>
  </si>
  <si>
    <t>education</t>
  </si>
  <si>
    <t xml:space="preserve">grain </t>
  </si>
  <si>
    <t>lawyer</t>
  </si>
  <si>
    <t>period</t>
  </si>
  <si>
    <t>relationship</t>
  </si>
  <si>
    <t>size</t>
  </si>
  <si>
    <t>trolley</t>
  </si>
  <si>
    <t>basis</t>
  </si>
  <si>
    <t>cola</t>
  </si>
  <si>
    <t>elbow</t>
  </si>
  <si>
    <t>grass</t>
  </si>
  <si>
    <t>layer</t>
  </si>
  <si>
    <t>periodical</t>
  </si>
  <si>
    <t>relaxation</t>
  </si>
  <si>
    <t>skating</t>
  </si>
  <si>
    <t>trouble</t>
  </si>
  <si>
    <t>bath</t>
  </si>
  <si>
    <t>colleague</t>
  </si>
  <si>
    <t>elder</t>
  </si>
  <si>
    <t>green</t>
  </si>
  <si>
    <t>lecture</t>
  </si>
  <si>
    <t>perk</t>
  </si>
  <si>
    <t>relief</t>
  </si>
  <si>
    <t>skeleton</t>
  </si>
  <si>
    <t>tube</t>
  </si>
  <si>
    <t>batteries</t>
  </si>
  <si>
    <t>college</t>
  </si>
  <si>
    <t>electricity</t>
  </si>
  <si>
    <t>ground</t>
  </si>
  <si>
    <t>lecturer</t>
  </si>
  <si>
    <t>permit</t>
  </si>
  <si>
    <t>religion</t>
  </si>
  <si>
    <t>skill</t>
  </si>
  <si>
    <t>tunnels</t>
  </si>
  <si>
    <t>battery</t>
  </si>
  <si>
    <t>comedy</t>
  </si>
  <si>
    <t>elements</t>
  </si>
  <si>
    <t>group</t>
  </si>
  <si>
    <t>leisure</t>
  </si>
  <si>
    <t>person</t>
  </si>
  <si>
    <t>remark</t>
  </si>
  <si>
    <t>skin</t>
  </si>
  <si>
    <t>tuition</t>
  </si>
  <si>
    <t>beach</t>
  </si>
  <si>
    <t>commercials</t>
  </si>
  <si>
    <t>elevator</t>
  </si>
  <si>
    <t>growth</t>
  </si>
  <si>
    <t>lemon</t>
  </si>
  <si>
    <t>personality</t>
  </si>
  <si>
    <t>removal</t>
  </si>
  <si>
    <t>skirt</t>
  </si>
  <si>
    <t>tune</t>
  </si>
  <si>
    <t>beard</t>
  </si>
  <si>
    <t>commuter</t>
  </si>
  <si>
    <t>emotion</t>
  </si>
  <si>
    <t>guest</t>
  </si>
  <si>
    <t>lender</t>
  </si>
  <si>
    <t>pet</t>
  </si>
  <si>
    <t>renewal</t>
  </si>
  <si>
    <t>slang</t>
  </si>
  <si>
    <t>tunes</t>
  </si>
  <si>
    <t>beats</t>
  </si>
  <si>
    <t>companion</t>
  </si>
  <si>
    <t>emperor</t>
  </si>
  <si>
    <t>guide</t>
  </si>
  <si>
    <t>length</t>
  </si>
  <si>
    <t>petrol</t>
  </si>
  <si>
    <t>rent</t>
  </si>
  <si>
    <t>slave</t>
  </si>
  <si>
    <t>tutor</t>
  </si>
  <si>
    <t>beauty</t>
  </si>
  <si>
    <t>company</t>
  </si>
  <si>
    <t>employee</t>
  </si>
  <si>
    <t>gulf</t>
  </si>
  <si>
    <t>lesson</t>
  </si>
  <si>
    <t>petroleum</t>
  </si>
  <si>
    <t>rental</t>
  </si>
  <si>
    <t>sleep</t>
  </si>
  <si>
    <t>type</t>
  </si>
  <si>
    <t>bed</t>
  </si>
  <si>
    <t>complaint</t>
  </si>
  <si>
    <t>employer</t>
  </si>
  <si>
    <t>guy</t>
  </si>
  <si>
    <t>letter</t>
  </si>
  <si>
    <t>philosopher</t>
  </si>
  <si>
    <t>repetition</t>
  </si>
  <si>
    <t>sleeping</t>
  </si>
  <si>
    <t>umpire</t>
  </si>
  <si>
    <t>bedroom</t>
  </si>
  <si>
    <t>complex</t>
  </si>
  <si>
    <t>gym</t>
  </si>
  <si>
    <t>level</t>
  </si>
  <si>
    <t>photo</t>
  </si>
  <si>
    <t>replacement</t>
  </si>
  <si>
    <t>slip</t>
  </si>
  <si>
    <t>understanding</t>
  </si>
  <si>
    <t>bed sheet</t>
  </si>
  <si>
    <t>computer</t>
  </si>
  <si>
    <t>ending</t>
  </si>
  <si>
    <t>habit</t>
  </si>
  <si>
    <t>library</t>
  </si>
  <si>
    <t>photograph</t>
  </si>
  <si>
    <t>report</t>
  </si>
  <si>
    <t>smell</t>
  </si>
  <si>
    <t>utensil</t>
  </si>
  <si>
    <t>bedsit</t>
  </si>
  <si>
    <t>concert</t>
  </si>
  <si>
    <t>energies</t>
  </si>
  <si>
    <t>hand</t>
  </si>
  <si>
    <t>lift</t>
  </si>
  <si>
    <t>physician</t>
  </si>
  <si>
    <t>reproduce</t>
  </si>
  <si>
    <t>smoke</t>
  </si>
  <si>
    <t>uniform</t>
  </si>
  <si>
    <t>behaviors</t>
  </si>
  <si>
    <t>conclusion</t>
  </si>
  <si>
    <t>engine</t>
  </si>
  <si>
    <t>handball</t>
  </si>
  <si>
    <t>light</t>
  </si>
  <si>
    <t>physics</t>
  </si>
  <si>
    <t>research</t>
  </si>
  <si>
    <t>smoking</t>
  </si>
  <si>
    <t>union</t>
  </si>
  <si>
    <t>belt</t>
  </si>
  <si>
    <t>condition</t>
  </si>
  <si>
    <t>engineer</t>
  </si>
  <si>
    <t>handbooks</t>
  </si>
  <si>
    <t>line</t>
  </si>
  <si>
    <t>pianist</t>
  </si>
  <si>
    <t>reservation</t>
  </si>
  <si>
    <t>snack</t>
  </si>
  <si>
    <t>university</t>
  </si>
  <si>
    <t>benefit</t>
  </si>
  <si>
    <t>conferences</t>
  </si>
  <si>
    <t>entrance</t>
  </si>
  <si>
    <t>handling</t>
  </si>
  <si>
    <t>lion</t>
  </si>
  <si>
    <t>piano</t>
  </si>
  <si>
    <t>reserve</t>
  </si>
  <si>
    <t>soil</t>
  </si>
  <si>
    <t>usage</t>
  </si>
  <si>
    <t>beverage</t>
  </si>
  <si>
    <t>confidence</t>
  </si>
  <si>
    <t>epidemic</t>
  </si>
  <si>
    <t>handout</t>
  </si>
  <si>
    <t>lists</t>
  </si>
  <si>
    <t>picnic</t>
  </si>
  <si>
    <t>residence</t>
  </si>
  <si>
    <t>solution</t>
  </si>
  <si>
    <t>vacancy</t>
  </si>
  <si>
    <t>bibliography</t>
  </si>
  <si>
    <t>confirmation</t>
  </si>
  <si>
    <t>equipment</t>
  </si>
  <si>
    <t>hat</t>
  </si>
  <si>
    <t>loan</t>
  </si>
  <si>
    <t>picture</t>
  </si>
  <si>
    <t>resident</t>
  </si>
  <si>
    <t>sound</t>
  </si>
  <si>
    <t>vacation</t>
  </si>
  <si>
    <t>bicycle</t>
  </si>
  <si>
    <t>congestion</t>
  </si>
  <si>
    <t>ethic</t>
  </si>
  <si>
    <t>headache</t>
  </si>
  <si>
    <t>location</t>
  </si>
  <si>
    <t>pie</t>
  </si>
  <si>
    <t>resource</t>
  </si>
  <si>
    <t>source</t>
  </si>
  <si>
    <t>value</t>
  </si>
  <si>
    <t>bill</t>
  </si>
  <si>
    <t>conqueror</t>
  </si>
  <si>
    <t>evening</t>
  </si>
  <si>
    <t>heading</t>
  </si>
  <si>
    <t>lock</t>
  </si>
  <si>
    <t>pill</t>
  </si>
  <si>
    <t>respondent</t>
  </si>
  <si>
    <t>south</t>
  </si>
  <si>
    <t>particulars</t>
  </si>
  <si>
    <t>biologist</t>
  </si>
  <si>
    <t>conquest</t>
  </si>
  <si>
    <t>event</t>
  </si>
  <si>
    <t>health</t>
  </si>
  <si>
    <t>loss</t>
  </si>
  <si>
    <t>pink</t>
  </si>
  <si>
    <t>response</t>
  </si>
  <si>
    <t>southeast</t>
  </si>
  <si>
    <t>variety</t>
  </si>
  <si>
    <t>bird</t>
  </si>
  <si>
    <t>conversation</t>
  </si>
  <si>
    <t>evidence</t>
  </si>
  <si>
    <t>hearing</t>
  </si>
  <si>
    <t>lounge</t>
  </si>
  <si>
    <t>place</t>
  </si>
  <si>
    <t>restaurant</t>
  </si>
  <si>
    <t>southwest</t>
  </si>
  <si>
    <t>vegetable</t>
  </si>
  <si>
    <t>birth</t>
  </si>
  <si>
    <t>conservation</t>
  </si>
  <si>
    <t>examination</t>
  </si>
  <si>
    <t>heart</t>
  </si>
  <si>
    <t>loyalty</t>
  </si>
  <si>
    <t>placement</t>
  </si>
  <si>
    <t>result</t>
  </si>
  <si>
    <t>space</t>
  </si>
  <si>
    <t>velvet</t>
  </si>
  <si>
    <t>blanket</t>
  </si>
  <si>
    <t>construction</t>
  </si>
  <si>
    <t>example</t>
  </si>
  <si>
    <t>heating</t>
  </si>
  <si>
    <t>luck</t>
  </si>
  <si>
    <t>plan</t>
  </si>
  <si>
    <t>retirement</t>
  </si>
  <si>
    <t>speaker</t>
  </si>
  <si>
    <t>vet</t>
  </si>
  <si>
    <t>blast</t>
  </si>
  <si>
    <t>consultant</t>
  </si>
  <si>
    <t>exception</t>
  </si>
  <si>
    <t>hen</t>
  </si>
  <si>
    <t>lunch</t>
  </si>
  <si>
    <t>planners</t>
  </si>
  <si>
    <t>return</t>
  </si>
  <si>
    <t>speaking</t>
  </si>
  <si>
    <t>video</t>
  </si>
  <si>
    <t>block</t>
  </si>
  <si>
    <t>consumption</t>
  </si>
  <si>
    <t>exchange</t>
  </si>
  <si>
    <t>herb</t>
  </si>
  <si>
    <t>lung</t>
  </si>
  <si>
    <t>plans</t>
  </si>
  <si>
    <t>review</t>
  </si>
  <si>
    <t>speed</t>
  </si>
  <si>
    <t>view</t>
  </si>
  <si>
    <t>blouse</t>
  </si>
  <si>
    <t>contact</t>
  </si>
  <si>
    <t>excitement</t>
  </si>
  <si>
    <t>hero</t>
  </si>
  <si>
    <t>machine</t>
  </si>
  <si>
    <t>plant</t>
  </si>
  <si>
    <t>revision</t>
  </si>
  <si>
    <t>spending</t>
  </si>
  <si>
    <t>village</t>
  </si>
  <si>
    <t>board</t>
  </si>
  <si>
    <t>container</t>
  </si>
  <si>
    <t>excursion</t>
  </si>
  <si>
    <t>heroes</t>
  </si>
  <si>
    <t>magazine</t>
  </si>
  <si>
    <t>planting</t>
  </si>
  <si>
    <t>rice</t>
  </si>
  <si>
    <t>spider</t>
  </si>
  <si>
    <t>vinegar</t>
  </si>
  <si>
    <t>boarder</t>
  </si>
  <si>
    <t>contaminants</t>
  </si>
  <si>
    <t>excuse</t>
  </si>
  <si>
    <t>heroine</t>
  </si>
  <si>
    <t>maid</t>
  </si>
  <si>
    <t>plastic</t>
  </si>
  <si>
    <t>rider</t>
  </si>
  <si>
    <t>sponsor</t>
  </si>
  <si>
    <t>visa</t>
  </si>
  <si>
    <t>boat</t>
  </si>
  <si>
    <t>contamination</t>
  </si>
  <si>
    <t>exercises</t>
  </si>
  <si>
    <t>hike</t>
  </si>
  <si>
    <t>mail</t>
  </si>
  <si>
    <t>plate</t>
  </si>
  <si>
    <t>riders</t>
  </si>
  <si>
    <t>spoons</t>
  </si>
  <si>
    <t>visitor</t>
  </si>
  <si>
    <t>bone</t>
  </si>
  <si>
    <t>content</t>
  </si>
  <si>
    <t>exhibition</t>
  </si>
  <si>
    <t>hiking</t>
  </si>
  <si>
    <t>majority</t>
  </si>
  <si>
    <t>player</t>
  </si>
  <si>
    <t>risk</t>
  </si>
  <si>
    <t>sportsman</t>
  </si>
  <si>
    <t>vitamin</t>
  </si>
  <si>
    <t>bowl</t>
  </si>
  <si>
    <t>continent</t>
  </si>
  <si>
    <t>existence</t>
  </si>
  <si>
    <t>hint</t>
  </si>
  <si>
    <t>making</t>
  </si>
  <si>
    <t>playground</t>
  </si>
  <si>
    <t>river</t>
  </si>
  <si>
    <t>spot</t>
  </si>
  <si>
    <t>vocation</t>
  </si>
  <si>
    <t>bowling</t>
  </si>
  <si>
    <t>contract</t>
  </si>
  <si>
    <t>existing</t>
  </si>
  <si>
    <t>hints</t>
  </si>
  <si>
    <t>male</t>
  </si>
  <si>
    <t>pleasure</t>
  </si>
  <si>
    <t>robot</t>
  </si>
  <si>
    <t>stability</t>
  </si>
  <si>
    <t>volunteer</t>
  </si>
  <si>
    <t>branch</t>
  </si>
  <si>
    <t>contracts</t>
  </si>
  <si>
    <t>expansion</t>
  </si>
  <si>
    <t>historian</t>
  </si>
  <si>
    <t>manager</t>
  </si>
  <si>
    <t>pocket</t>
  </si>
  <si>
    <t>rock</t>
  </si>
  <si>
    <t>stack</t>
  </si>
  <si>
    <t>volunteers</t>
  </si>
  <si>
    <t>breakfast</t>
  </si>
  <si>
    <t>controversy</t>
  </si>
  <si>
    <t>expense</t>
  </si>
  <si>
    <t>hit</t>
  </si>
  <si>
    <t>mane</t>
  </si>
  <si>
    <t>point</t>
  </si>
  <si>
    <t>rocket</t>
  </si>
  <si>
    <t>stage</t>
  </si>
  <si>
    <t>waist</t>
  </si>
  <si>
    <t>brick</t>
  </si>
  <si>
    <t>convenience</t>
  </si>
  <si>
    <t>experiment</t>
  </si>
  <si>
    <t>hits</t>
  </si>
  <si>
    <t>manufacture</t>
  </si>
  <si>
    <t>police</t>
  </si>
  <si>
    <t>role</t>
  </si>
  <si>
    <t>stair</t>
  </si>
  <si>
    <t>waiter</t>
  </si>
  <si>
    <t>bridge</t>
  </si>
  <si>
    <t>cooperations</t>
  </si>
  <si>
    <t>expert</t>
  </si>
  <si>
    <t>hobby</t>
  </si>
  <si>
    <t>map</t>
  </si>
  <si>
    <t>poll</t>
  </si>
  <si>
    <t>standard</t>
  </si>
  <si>
    <t>walk</t>
  </si>
  <si>
    <t>brochures</t>
  </si>
  <si>
    <t>cop</t>
  </si>
  <si>
    <t>explanation</t>
  </si>
  <si>
    <t>holiday</t>
  </si>
  <si>
    <t>margi</t>
  </si>
  <si>
    <t>pollutant</t>
  </si>
  <si>
    <t>star</t>
  </si>
  <si>
    <t>walking</t>
  </si>
  <si>
    <t>building</t>
  </si>
  <si>
    <t>copy</t>
  </si>
  <si>
    <t>explosion</t>
  </si>
  <si>
    <t>horse</t>
  </si>
  <si>
    <t>mark</t>
  </si>
  <si>
    <t>pollute</t>
  </si>
  <si>
    <t>starter</t>
  </si>
  <si>
    <t>wall</t>
  </si>
  <si>
    <t>bungalow</t>
  </si>
  <si>
    <t>coporation</t>
  </si>
  <si>
    <t>exposition</t>
  </si>
  <si>
    <t>hospital</t>
  </si>
  <si>
    <t>market</t>
  </si>
  <si>
    <t>pollution</t>
  </si>
  <si>
    <t>starting</t>
  </si>
  <si>
    <t>world</t>
  </si>
  <si>
    <t>burger</t>
  </si>
  <si>
    <t>corpse</t>
  </si>
  <si>
    <t>exposure</t>
  </si>
  <si>
    <t>housework</t>
  </si>
  <si>
    <t>marketing</t>
  </si>
  <si>
    <t>port</t>
  </si>
  <si>
    <t>state</t>
  </si>
  <si>
    <t>warming</t>
  </si>
  <si>
    <t>burglar</t>
  </si>
  <si>
    <t>correspondence</t>
  </si>
  <si>
    <t>extension</t>
  </si>
  <si>
    <t>housing</t>
  </si>
  <si>
    <t>marsh</t>
  </si>
  <si>
    <t>position</t>
  </si>
  <si>
    <t>statement</t>
  </si>
  <si>
    <t>washing</t>
  </si>
  <si>
    <t>bus</t>
  </si>
  <si>
    <t>cost</t>
  </si>
  <si>
    <t>households</t>
  </si>
  <si>
    <t>master</t>
  </si>
  <si>
    <t>post</t>
  </si>
  <si>
    <t>station</t>
  </si>
  <si>
    <t>wasp</t>
  </si>
  <si>
    <t>cab</t>
  </si>
  <si>
    <t>costume</t>
  </si>
  <si>
    <t>factor</t>
  </si>
  <si>
    <t>hour</t>
  </si>
  <si>
    <t>mat</t>
  </si>
  <si>
    <t>postgraduate</t>
  </si>
  <si>
    <t>status</t>
  </si>
  <si>
    <t>waste</t>
  </si>
  <si>
    <t>cot</t>
  </si>
  <si>
    <t>factory</t>
  </si>
  <si>
    <t>matching</t>
  </si>
  <si>
    <t>steak</t>
  </si>
  <si>
    <t>wasteland</t>
  </si>
  <si>
    <t>cottage</t>
  </si>
  <si>
    <t>material</t>
  </si>
  <si>
    <t>steam</t>
  </si>
  <si>
    <t>water</t>
  </si>
  <si>
    <t>cough</t>
  </si>
  <si>
    <t>maturity</t>
  </si>
  <si>
    <t>step</t>
  </si>
  <si>
    <t>wave</t>
  </si>
  <si>
    <t>council</t>
  </si>
  <si>
    <t>maximum</t>
  </si>
  <si>
    <t>sting</t>
  </si>
  <si>
    <t>country</t>
  </si>
  <si>
    <t>meal</t>
  </si>
  <si>
    <t>stock</t>
  </si>
  <si>
    <t>wealth</t>
  </si>
  <si>
    <t>course</t>
  </si>
  <si>
    <t>measure</t>
  </si>
  <si>
    <t>stomach</t>
  </si>
  <si>
    <t>weapon</t>
  </si>
  <si>
    <t>crack</t>
  </si>
  <si>
    <t>measurement</t>
  </si>
  <si>
    <t>stomachache</t>
  </si>
  <si>
    <t>weather</t>
  </si>
  <si>
    <t>craft</t>
  </si>
  <si>
    <t>meat</t>
  </si>
  <si>
    <t>stone</t>
  </si>
  <si>
    <t>weeds</t>
  </si>
  <si>
    <t>cream</t>
  </si>
  <si>
    <t>media</t>
  </si>
  <si>
    <t>store</t>
  </si>
  <si>
    <t>week</t>
  </si>
  <si>
    <t>credit</t>
  </si>
  <si>
    <t>medication</t>
  </si>
  <si>
    <t>story</t>
  </si>
  <si>
    <t>weekday</t>
  </si>
  <si>
    <t>creek</t>
  </si>
  <si>
    <t>medicine</t>
  </si>
  <si>
    <t>strategy</t>
  </si>
  <si>
    <t>weekend</t>
  </si>
  <si>
    <t>crime</t>
  </si>
  <si>
    <t>medium</t>
  </si>
  <si>
    <t>strength</t>
  </si>
  <si>
    <t>weight</t>
  </si>
  <si>
    <t>crisis</t>
  </si>
  <si>
    <t>method</t>
  </si>
  <si>
    <t>strike</t>
  </si>
  <si>
    <t xml:space="preserve">welfare </t>
  </si>
  <si>
    <t>crocodile</t>
  </si>
  <si>
    <t>microphone</t>
  </si>
  <si>
    <t>style</t>
  </si>
  <si>
    <t>west</t>
  </si>
  <si>
    <t>crop</t>
  </si>
  <si>
    <t>migration</t>
  </si>
  <si>
    <t>subject</t>
  </si>
  <si>
    <t>wetland</t>
  </si>
  <si>
    <t>cultivation</t>
  </si>
  <si>
    <t>mile</t>
  </si>
  <si>
    <t>submit</t>
  </si>
  <si>
    <t>whale</t>
  </si>
  <si>
    <t>culture</t>
  </si>
  <si>
    <t>mileage</t>
  </si>
  <si>
    <t>subsidy</t>
  </si>
  <si>
    <t>wheel</t>
  </si>
  <si>
    <t>cup</t>
  </si>
  <si>
    <t>milk</t>
  </si>
  <si>
    <t>suburb</t>
  </si>
  <si>
    <t>width</t>
  </si>
  <si>
    <t>cupboard</t>
  </si>
  <si>
    <t>mine</t>
  </si>
  <si>
    <t>sugar</t>
  </si>
  <si>
    <t>willows</t>
  </si>
  <si>
    <t>curtain</t>
  </si>
  <si>
    <t>mineral</t>
  </si>
  <si>
    <t>suit</t>
  </si>
  <si>
    <t>wind</t>
  </si>
  <si>
    <t>customer</t>
  </si>
  <si>
    <t>mill</t>
  </si>
  <si>
    <t>sunshield</t>
  </si>
  <si>
    <t>wing</t>
  </si>
  <si>
    <t>cutlery</t>
  </si>
  <si>
    <t>minimum</t>
  </si>
  <si>
    <t>supervisor</t>
  </si>
  <si>
    <t>word</t>
  </si>
  <si>
    <t>cycle</t>
  </si>
  <si>
    <t>minute</t>
  </si>
  <si>
    <t>supports</t>
  </si>
  <si>
    <t>workforce</t>
  </si>
  <si>
    <t>cycling</t>
  </si>
  <si>
    <t xml:space="preserve">mixture </t>
  </si>
  <si>
    <t>surface</t>
  </si>
  <si>
    <t>working</t>
  </si>
  <si>
    <t>damage</t>
  </si>
  <si>
    <t>model</t>
  </si>
  <si>
    <t>surgeon</t>
  </si>
  <si>
    <t>wound</t>
  </si>
  <si>
    <t>danger</t>
  </si>
  <si>
    <t>money</t>
  </si>
  <si>
    <t>surname</t>
  </si>
  <si>
    <t>writing</t>
  </si>
  <si>
    <t>data</t>
  </si>
  <si>
    <t>monopoly</t>
  </si>
  <si>
    <t>surprise</t>
  </si>
  <si>
    <t>year</t>
  </si>
  <si>
    <t>date</t>
  </si>
  <si>
    <t>month</t>
  </si>
  <si>
    <t>survey</t>
  </si>
  <si>
    <t>yoga</t>
  </si>
  <si>
    <t>day</t>
  </si>
  <si>
    <t>mood</t>
  </si>
  <si>
    <t>youth</t>
  </si>
  <si>
    <t>deadline</t>
  </si>
  <si>
    <t>morality</t>
  </si>
  <si>
    <t>sweater</t>
  </si>
  <si>
    <t>zero</t>
  </si>
  <si>
    <t>debate</t>
  </si>
  <si>
    <t>mosquito</t>
  </si>
  <si>
    <t>switch</t>
  </si>
  <si>
    <t>motel</t>
  </si>
  <si>
    <t>switches</t>
  </si>
  <si>
    <t>mountain</t>
  </si>
  <si>
    <t>symptom</t>
  </si>
  <si>
    <t>syndicate</t>
  </si>
  <si>
    <t>syrup</t>
  </si>
  <si>
    <t>system</t>
  </si>
  <si>
    <t>table</t>
  </si>
  <si>
    <t>tablet</t>
  </si>
  <si>
    <t>tape</t>
  </si>
  <si>
    <t>tax</t>
  </si>
  <si>
    <t xml:space="preserve">               4-1横向测试</t>
  </si>
  <si>
    <t xml:space="preserve">               4-2横向测试</t>
  </si>
  <si>
    <t xml:space="preserve">               4-3横向测试</t>
  </si>
  <si>
    <t xml:space="preserve">               4-4横向测试</t>
  </si>
  <si>
    <t>4-1横向测试答案</t>
  </si>
  <si>
    <t>4-2横向测试答案</t>
  </si>
  <si>
    <t>4-3横向测试答案</t>
  </si>
  <si>
    <t>4-4横向测试答案</t>
  </si>
  <si>
    <t>abnormal</t>
  </si>
  <si>
    <t>famed</t>
  </si>
  <si>
    <t>popular</t>
  </si>
  <si>
    <t>almost</t>
  </si>
  <si>
    <t>academic</t>
  </si>
  <si>
    <t>familiar</t>
  </si>
  <si>
    <t>positive</t>
  </si>
  <si>
    <t>currently</t>
  </si>
  <si>
    <t>accessible</t>
  </si>
  <si>
    <t>famous</t>
  </si>
  <si>
    <t>possible</t>
  </si>
  <si>
    <t>directly</t>
  </si>
  <si>
    <t>accountable</t>
  </si>
  <si>
    <t>fancy</t>
  </si>
  <si>
    <t>potential</t>
  </si>
  <si>
    <t>effectively</t>
  </si>
  <si>
    <t>accurate</t>
  </si>
  <si>
    <t>fashionable</t>
  </si>
  <si>
    <t>practical</t>
  </si>
  <si>
    <t>efficiently</t>
  </si>
  <si>
    <t>additional</t>
  </si>
  <si>
    <t>favourite</t>
  </si>
  <si>
    <t>precious</t>
  </si>
  <si>
    <t>originally</t>
  </si>
  <si>
    <t>adequate</t>
  </si>
  <si>
    <t>final</t>
  </si>
  <si>
    <t>predictable</t>
  </si>
  <si>
    <t>physically</t>
  </si>
  <si>
    <t>advanced</t>
  </si>
  <si>
    <t>financial</t>
  </si>
  <si>
    <t>present</t>
  </si>
  <si>
    <t>professionally</t>
  </si>
  <si>
    <t>advisable</t>
  </si>
  <si>
    <t>fine</t>
  </si>
  <si>
    <t>previous</t>
  </si>
  <si>
    <t>rapidly</t>
  </si>
  <si>
    <t>allergic</t>
  </si>
  <si>
    <t>firm</t>
  </si>
  <si>
    <t>printed</t>
  </si>
  <si>
    <t>regularly</t>
  </si>
  <si>
    <t>alternative</t>
  </si>
  <si>
    <t>flexible</t>
  </si>
  <si>
    <t>private</t>
  </si>
  <si>
    <t>scarcely</t>
  </si>
  <si>
    <t>amazing</t>
  </si>
  <si>
    <t>foreign</t>
  </si>
  <si>
    <t>professional</t>
  </si>
  <si>
    <t>virtually</t>
  </si>
  <si>
    <t>ambiguous</t>
  </si>
  <si>
    <t>formal</t>
  </si>
  <si>
    <t>promising</t>
  </si>
  <si>
    <t>ambitious</t>
  </si>
  <si>
    <t>former</t>
  </si>
  <si>
    <t>psychiatric</t>
  </si>
  <si>
    <t>analytical</t>
  </si>
  <si>
    <t>free</t>
  </si>
  <si>
    <t>psychological</t>
  </si>
  <si>
    <t>ancient</t>
  </si>
  <si>
    <t>frequent</t>
  </si>
  <si>
    <t>public</t>
  </si>
  <si>
    <t>angry</t>
  </si>
  <si>
    <t>fundamental</t>
  </si>
  <si>
    <t>pure</t>
  </si>
  <si>
    <t>applied</t>
  </si>
  <si>
    <t>further</t>
  </si>
  <si>
    <t>purest</t>
  </si>
  <si>
    <t>archaeological</t>
  </si>
  <si>
    <t>general</t>
  </si>
  <si>
    <t>Queen's</t>
  </si>
  <si>
    <t>artificial</t>
  </si>
  <si>
    <t>genetic</t>
  </si>
  <si>
    <t>random</t>
  </si>
  <si>
    <t>artistic</t>
  </si>
  <si>
    <t>geographical</t>
  </si>
  <si>
    <t>rapid</t>
  </si>
  <si>
    <t>ascending</t>
  </si>
  <si>
    <t>global</t>
  </si>
  <si>
    <t>rare</t>
  </si>
  <si>
    <t>atmospheric</t>
  </si>
  <si>
    <t>handy</t>
  </si>
  <si>
    <t>raw</t>
  </si>
  <si>
    <t>attentive</t>
  </si>
  <si>
    <t>harmful</t>
  </si>
  <si>
    <t>recycled</t>
  </si>
  <si>
    <t>audio</t>
  </si>
  <si>
    <t>hazardous</t>
  </si>
  <si>
    <t>redundant</t>
  </si>
  <si>
    <t>available</t>
  </si>
  <si>
    <t>healthy</t>
  </si>
  <si>
    <t>regional</t>
  </si>
  <si>
    <t>aware</t>
  </si>
  <si>
    <t>heavier</t>
  </si>
  <si>
    <t>regular</t>
  </si>
  <si>
    <t>awful</t>
  </si>
  <si>
    <t>heavy</t>
  </si>
  <si>
    <t>reinforced</t>
  </si>
  <si>
    <t>auto</t>
  </si>
  <si>
    <t>helpful</t>
  </si>
  <si>
    <t>related</t>
  </si>
  <si>
    <t>bald</t>
  </si>
  <si>
    <t>herbivorous</t>
  </si>
  <si>
    <t>relevant</t>
  </si>
  <si>
    <t>higher</t>
  </si>
  <si>
    <t>reliable</t>
  </si>
  <si>
    <t>basic</t>
  </si>
  <si>
    <t>highly-trained</t>
  </si>
  <si>
    <t>remote</t>
  </si>
  <si>
    <t>beautiful</t>
  </si>
  <si>
    <t>historical</t>
  </si>
  <si>
    <t>resistant</t>
  </si>
  <si>
    <t>biological</t>
  </si>
  <si>
    <t>least</t>
  </si>
  <si>
    <t>reverse</t>
  </si>
  <si>
    <t>blind</t>
  </si>
  <si>
    <t>ill</t>
  </si>
  <si>
    <t>rising</t>
  </si>
  <si>
    <t>blond</t>
  </si>
  <si>
    <t>illega</t>
  </si>
  <si>
    <t>royal</t>
  </si>
  <si>
    <t>British</t>
  </si>
  <si>
    <t>immune</t>
  </si>
  <si>
    <t>rural</t>
  </si>
  <si>
    <t>broad</t>
  </si>
  <si>
    <t>important</t>
  </si>
  <si>
    <t>sacked</t>
  </si>
  <si>
    <t>buried</t>
  </si>
  <si>
    <t>impossible</t>
  </si>
  <si>
    <t>safe</t>
  </si>
  <si>
    <t>calculating</t>
  </si>
  <si>
    <t>inaccurate</t>
  </si>
  <si>
    <t>satisfactory</t>
  </si>
  <si>
    <t>casual</t>
  </si>
  <si>
    <t>inadequate</t>
  </si>
  <si>
    <t>scarce</t>
  </si>
  <si>
    <t>central</t>
  </si>
  <si>
    <t>individual</t>
  </si>
  <si>
    <t>scientific</t>
  </si>
  <si>
    <t>challenging</t>
  </si>
  <si>
    <t>industrial</t>
  </si>
  <si>
    <t>seasonal</t>
  </si>
  <si>
    <t>cheaper</t>
  </si>
  <si>
    <t>informative</t>
  </si>
  <si>
    <t>seasoned</t>
  </si>
  <si>
    <t>cheerful</t>
  </si>
  <si>
    <t>initial</t>
  </si>
  <si>
    <t>secondary</t>
  </si>
  <si>
    <t>children's</t>
  </si>
  <si>
    <t>inspiring</t>
  </si>
  <si>
    <t>second-hand</t>
  </si>
  <si>
    <t>classical</t>
  </si>
  <si>
    <t>intact</t>
  </si>
  <si>
    <t>self-funded</t>
  </si>
  <si>
    <t>clean</t>
  </si>
  <si>
    <t>intelligent</t>
  </si>
  <si>
    <t>self-sufficient</t>
  </si>
  <si>
    <t>cleanest</t>
  </si>
  <si>
    <t>intensive</t>
  </si>
  <si>
    <t>senior</t>
  </si>
  <si>
    <t>clear</t>
  </si>
  <si>
    <t>interesting</t>
  </si>
  <si>
    <t>sensible</t>
  </si>
  <si>
    <t>clever</t>
  </si>
  <si>
    <t>intermediate</t>
  </si>
  <si>
    <t>serial</t>
  </si>
  <si>
    <t>coastal</t>
  </si>
  <si>
    <t>internal</t>
  </si>
  <si>
    <t>serious</t>
  </si>
  <si>
    <t>comfortable</t>
  </si>
  <si>
    <t>international</t>
  </si>
  <si>
    <t>seven-screen</t>
  </si>
  <si>
    <t>common</t>
  </si>
  <si>
    <t>irregular</t>
  </si>
  <si>
    <t>several</t>
  </si>
  <si>
    <t>commonsense</t>
  </si>
  <si>
    <t>irritable</t>
  </si>
  <si>
    <t>shared</t>
  </si>
  <si>
    <t>complete</t>
  </si>
  <si>
    <t>isolated</t>
  </si>
  <si>
    <t>sharp</t>
  </si>
  <si>
    <t>completed</t>
  </si>
  <si>
    <t>key</t>
  </si>
  <si>
    <t>short</t>
  </si>
  <si>
    <t>confident</t>
  </si>
  <si>
    <t>latest</t>
  </si>
  <si>
    <t>sick</t>
  </si>
  <si>
    <t>conservative</t>
  </si>
  <si>
    <t>legal</t>
  </si>
  <si>
    <t>silent</t>
  </si>
  <si>
    <t>convenient</t>
  </si>
  <si>
    <t>little-known</t>
  </si>
  <si>
    <t>silver</t>
  </si>
  <si>
    <t>co-operative</t>
  </si>
  <si>
    <t>loyal</t>
  </si>
  <si>
    <t>similar</t>
  </si>
  <si>
    <t>corrupt</t>
  </si>
  <si>
    <t>magic</t>
  </si>
  <si>
    <t>simple</t>
  </si>
  <si>
    <t>costly</t>
  </si>
  <si>
    <t>magical</t>
  </si>
  <si>
    <t>sleepy</t>
  </si>
  <si>
    <t>magnificent</t>
  </si>
  <si>
    <t>slim</t>
  </si>
  <si>
    <t>critical</t>
  </si>
  <si>
    <t>major</t>
  </si>
  <si>
    <t>smart</t>
  </si>
  <si>
    <t>crucial</t>
  </si>
  <si>
    <t>martial</t>
  </si>
  <si>
    <t>smelly</t>
  </si>
  <si>
    <t>cultural</t>
  </si>
  <si>
    <t>social</t>
  </si>
  <si>
    <t>curly</t>
  </si>
  <si>
    <t>medical</t>
  </si>
  <si>
    <t>solar</t>
  </si>
  <si>
    <t>current</t>
  </si>
  <si>
    <t>mental</t>
  </si>
  <si>
    <t>soundproof</t>
  </si>
  <si>
    <t>daily</t>
  </si>
  <si>
    <t>mid</t>
  </si>
  <si>
    <t>southern</t>
  </si>
  <si>
    <t>dairy</t>
  </si>
  <si>
    <t>migratory</t>
  </si>
  <si>
    <t>spacious</t>
  </si>
  <si>
    <t>dangerous</t>
  </si>
  <si>
    <t>military</t>
  </si>
  <si>
    <t>spare</t>
  </si>
  <si>
    <t>dark</t>
  </si>
  <si>
    <t>miserable</t>
  </si>
  <si>
    <t>special</t>
  </si>
  <si>
    <t>mobile</t>
  </si>
  <si>
    <t>specialized</t>
  </si>
  <si>
    <t>dependent</t>
  </si>
  <si>
    <t>moderate</t>
  </si>
  <si>
    <t>species</t>
  </si>
  <si>
    <t>detailed</t>
  </si>
  <si>
    <t>modern</t>
  </si>
  <si>
    <t>specific</t>
  </si>
  <si>
    <t>different</t>
  </si>
  <si>
    <t xml:space="preserve">musical </t>
  </si>
  <si>
    <t>spiral</t>
  </si>
  <si>
    <t>direct</t>
  </si>
  <si>
    <t>natural</t>
  </si>
  <si>
    <t>stable</t>
  </si>
  <si>
    <t>disabled</t>
  </si>
  <si>
    <t>negative</t>
  </si>
  <si>
    <t>steady</t>
  </si>
  <si>
    <t>distant</t>
  </si>
  <si>
    <t>neighboring</t>
  </si>
  <si>
    <t>stout</t>
  </si>
  <si>
    <t>distinct</t>
  </si>
  <si>
    <t>nervous</t>
  </si>
  <si>
    <t>strained</t>
  </si>
  <si>
    <t>domestic</t>
  </si>
  <si>
    <t>noble</t>
  </si>
  <si>
    <t>stressful</t>
  </si>
  <si>
    <t>dominant</t>
  </si>
  <si>
    <t>noisy</t>
  </si>
  <si>
    <t>stretching</t>
  </si>
  <si>
    <t>eastern</t>
  </si>
  <si>
    <t>non-active</t>
  </si>
  <si>
    <t>strong</t>
  </si>
  <si>
    <t>economic</t>
  </si>
  <si>
    <t>normal</t>
  </si>
  <si>
    <t>stronger</t>
  </si>
  <si>
    <t>educational</t>
  </si>
  <si>
    <t>northern</t>
  </si>
  <si>
    <t>subjective</t>
  </si>
  <si>
    <t>effective</t>
  </si>
  <si>
    <t>successful</t>
  </si>
  <si>
    <t>efficient</t>
  </si>
  <si>
    <t>occupational</t>
  </si>
  <si>
    <t>sufficient</t>
  </si>
  <si>
    <t>elementary</t>
  </si>
  <si>
    <t>Olympic</t>
  </si>
  <si>
    <t>suitable</t>
  </si>
  <si>
    <t>empty</t>
  </si>
  <si>
    <t>optic</t>
  </si>
  <si>
    <t>super</t>
  </si>
  <si>
    <t>enormous</t>
  </si>
  <si>
    <t>optional</t>
  </si>
  <si>
    <t>surprised</t>
  </si>
  <si>
    <t>enthusiastic</t>
  </si>
  <si>
    <t>oral</t>
  </si>
  <si>
    <t>systematic</t>
  </si>
  <si>
    <t>environmental</t>
  </si>
  <si>
    <t>organic</t>
  </si>
  <si>
    <t>technical</t>
  </si>
  <si>
    <t>essential</t>
  </si>
  <si>
    <t>overall</t>
  </si>
  <si>
    <t>theoretical</t>
  </si>
  <si>
    <t>excited</t>
  </si>
  <si>
    <t>overhead</t>
  </si>
  <si>
    <t>traditional</t>
  </si>
  <si>
    <t>exciting</t>
  </si>
  <si>
    <t>troublesome</t>
  </si>
  <si>
    <t>existent</t>
  </si>
  <si>
    <t>parental</t>
  </si>
  <si>
    <t>typical</t>
  </si>
  <si>
    <t>expensive</t>
  </si>
  <si>
    <t>payable</t>
  </si>
  <si>
    <t>unanimous</t>
  </si>
  <si>
    <t>experienced</t>
  </si>
  <si>
    <t>perfect</t>
  </si>
  <si>
    <t>uncomfortable</t>
  </si>
  <si>
    <t>experimental</t>
  </si>
  <si>
    <t>personal</t>
  </si>
  <si>
    <t>unconvincing</t>
  </si>
  <si>
    <t>extensive</t>
  </si>
  <si>
    <t>physical</t>
  </si>
  <si>
    <t>underground</t>
  </si>
  <si>
    <t>extra</t>
  </si>
  <si>
    <t xml:space="preserve">pleasant </t>
  </si>
  <si>
    <t>unfair</t>
  </si>
  <si>
    <t>fair</t>
  </si>
  <si>
    <t>political</t>
  </si>
  <si>
    <t>unhealthy</t>
  </si>
  <si>
    <t>fake</t>
  </si>
  <si>
    <t>pop</t>
  </si>
  <si>
    <t>unique</t>
  </si>
  <si>
    <t>united</t>
  </si>
  <si>
    <t>unreliable</t>
  </si>
  <si>
    <t>unsocial</t>
  </si>
  <si>
    <t>unusual</t>
  </si>
  <si>
    <t>useful</t>
  </si>
  <si>
    <t>useless</t>
  </si>
  <si>
    <t>usual</t>
  </si>
  <si>
    <t>various</t>
  </si>
  <si>
    <t>violent</t>
  </si>
  <si>
    <t>virtual</t>
  </si>
  <si>
    <t>visible</t>
  </si>
  <si>
    <t>visual</t>
  </si>
  <si>
    <t>warm</t>
  </si>
  <si>
    <t>washable</t>
  </si>
  <si>
    <t>wealthy</t>
  </si>
  <si>
    <t>weekly</t>
  </si>
  <si>
    <t>western</t>
  </si>
  <si>
    <t>whole</t>
  </si>
  <si>
    <t>wide</t>
  </si>
  <si>
    <t>wise</t>
  </si>
  <si>
    <t>worthwhile</t>
  </si>
  <si>
    <t>worthy</t>
  </si>
  <si>
    <t xml:space="preserve">               5-1横向测试</t>
  </si>
  <si>
    <t xml:space="preserve">               5-2横向测试</t>
  </si>
  <si>
    <t xml:space="preserve">               5-3横向测试</t>
  </si>
  <si>
    <t xml:space="preserve">               5-4横向测试</t>
  </si>
  <si>
    <t xml:space="preserve">               5-5横向测试</t>
  </si>
  <si>
    <t xml:space="preserve">               5-6横向测试</t>
  </si>
  <si>
    <t xml:space="preserve">               5-7横向测试</t>
  </si>
  <si>
    <t xml:space="preserve">               5-8横向测试</t>
  </si>
  <si>
    <t xml:space="preserve">               5-9横向测试</t>
  </si>
  <si>
    <t xml:space="preserve">               5-10横向测试</t>
  </si>
  <si>
    <t xml:space="preserve">               5-11横向测试</t>
  </si>
  <si>
    <t xml:space="preserve">               5-12横向测试</t>
  </si>
  <si>
    <t>5-1横向测试答案</t>
  </si>
  <si>
    <t>5-2横向测试答案</t>
  </si>
  <si>
    <t>5-3横向测试答案</t>
  </si>
  <si>
    <t>5-4横向测试答案</t>
  </si>
  <si>
    <t>5-5横向测试答案</t>
  </si>
  <si>
    <t>5-6横向测试答案</t>
  </si>
  <si>
    <t>5-7横向测试答案</t>
  </si>
  <si>
    <t>5-8横向测试答案</t>
  </si>
  <si>
    <t>5-9横向测试答案</t>
  </si>
  <si>
    <t>5-10横向测试答案</t>
  </si>
  <si>
    <t>5-11横向测试答案</t>
  </si>
  <si>
    <t>5-12横向测试答案</t>
  </si>
  <si>
    <t>a (great) variety of</t>
  </si>
  <si>
    <t>bulletin board</t>
  </si>
  <si>
    <t>contact lenses</t>
  </si>
  <si>
    <t>emotion and mood</t>
  </si>
  <si>
    <t>free for heating</t>
  </si>
  <si>
    <t>hotel crime</t>
  </si>
  <si>
    <t xml:space="preserve">living cost </t>
  </si>
  <si>
    <t>on campus</t>
  </si>
  <si>
    <t>range of English level</t>
  </si>
  <si>
    <t>sky dome</t>
  </si>
  <si>
    <t>theme garden</t>
  </si>
  <si>
    <t>abbreviation</t>
  </si>
  <si>
    <t>a balanced diet</t>
  </si>
  <si>
    <t>breathtaking</t>
  </si>
  <si>
    <t>cooperating research elements</t>
  </si>
  <si>
    <t>end of term</t>
  </si>
  <si>
    <t>free of charge</t>
  </si>
  <si>
    <t>hunt for</t>
  </si>
  <si>
    <t>living expenses</t>
  </si>
  <si>
    <t>on foot</t>
  </si>
  <si>
    <t>rapid population growth</t>
  </si>
  <si>
    <t>sleeping plls</t>
  </si>
  <si>
    <t>theme of project</t>
  </si>
  <si>
    <t>access</t>
  </si>
  <si>
    <t>5-1横向测试</t>
  </si>
  <si>
    <t>a couple of</t>
  </si>
  <si>
    <t>breed fish</t>
  </si>
  <si>
    <t>coping with stress</t>
  </si>
  <si>
    <t>endangered species</t>
  </si>
  <si>
    <t>free transportation</t>
  </si>
  <si>
    <t>house insurance</t>
  </si>
  <si>
    <t>loans</t>
  </si>
  <si>
    <t>on sale</t>
  </si>
  <si>
    <t>raw materials</t>
  </si>
  <si>
    <t>sleeping sickness</t>
  </si>
  <si>
    <t>theme park</t>
  </si>
  <si>
    <t>5-2横向测试</t>
  </si>
  <si>
    <t>a pair of glasses</t>
  </si>
  <si>
    <t>British Council</t>
  </si>
  <si>
    <t>corporate loan</t>
  </si>
  <si>
    <t>energy industry</t>
  </si>
  <si>
    <t>fruit juice</t>
  </si>
  <si>
    <t>house key</t>
  </si>
  <si>
    <t>local walking club</t>
  </si>
  <si>
    <t>on small scale</t>
  </si>
  <si>
    <t>rare lions</t>
  </si>
  <si>
    <t>slide presentation</t>
  </si>
  <si>
    <t>theoretical background</t>
  </si>
  <si>
    <t>accident</t>
  </si>
  <si>
    <t>5-3横向测试</t>
  </si>
  <si>
    <t>a period of time</t>
  </si>
  <si>
    <t>British Library</t>
  </si>
  <si>
    <t>cost effective</t>
  </si>
  <si>
    <t>engineers</t>
  </si>
  <si>
    <t>fruit trees</t>
  </si>
  <si>
    <t>housing agency</t>
  </si>
  <si>
    <t>local history</t>
  </si>
  <si>
    <t>one-way ticket</t>
  </si>
  <si>
    <t>rare species</t>
  </si>
  <si>
    <t>small scale</t>
  </si>
  <si>
    <t>theoretical framework</t>
  </si>
  <si>
    <t>affair</t>
  </si>
  <si>
    <t>5-4横向测试</t>
  </si>
  <si>
    <t>A plus</t>
  </si>
  <si>
    <t>British Museum</t>
  </si>
  <si>
    <t>cost of living</t>
  </si>
  <si>
    <t>engineering room</t>
  </si>
  <si>
    <t>functions and places</t>
  </si>
  <si>
    <t>human beings</t>
  </si>
  <si>
    <t>local industry</t>
  </si>
  <si>
    <t>one-way</t>
  </si>
  <si>
    <t>rare fish</t>
  </si>
  <si>
    <t>small scar on his chin</t>
  </si>
  <si>
    <t>tiger shark</t>
  </si>
  <si>
    <t>announcement</t>
  </si>
  <si>
    <t>5-5横向测试</t>
  </si>
  <si>
    <t>a series of</t>
  </si>
  <si>
    <t>broaden one's horizon</t>
  </si>
  <si>
    <t>costume party</t>
  </si>
  <si>
    <t>engrave</t>
  </si>
  <si>
    <t>ful-time</t>
  </si>
  <si>
    <t>human consumption</t>
  </si>
  <si>
    <t>local pet shop</t>
  </si>
  <si>
    <t>online shopping</t>
  </si>
  <si>
    <t>reach one's destination</t>
  </si>
  <si>
    <t>smoke alarms</t>
  </si>
  <si>
    <t>theory chapters</t>
  </si>
  <si>
    <t>assume</t>
  </si>
  <si>
    <t>5-6横向测试</t>
  </si>
  <si>
    <t>a serious person</t>
  </si>
  <si>
    <t>broaden one's view</t>
  </si>
  <si>
    <t>cough mixture</t>
  </si>
  <si>
    <t>enrollment fee</t>
  </si>
  <si>
    <t>full name</t>
  </si>
  <si>
    <t>human race</t>
  </si>
  <si>
    <t>local product</t>
  </si>
  <si>
    <t>open admission</t>
  </si>
  <si>
    <t>readers</t>
  </si>
  <si>
    <t>social activities</t>
  </si>
  <si>
    <t>theory of application</t>
  </si>
  <si>
    <t>accommodation</t>
  </si>
  <si>
    <t>5-7横向测试</t>
  </si>
  <si>
    <t>a sharp turn</t>
  </si>
  <si>
    <t>brother-in-law</t>
  </si>
  <si>
    <t>country music</t>
  </si>
  <si>
    <t>entrance fee</t>
  </si>
  <si>
    <t>fur trade</t>
  </si>
  <si>
    <t>human resources</t>
  </si>
  <si>
    <t>local resident</t>
  </si>
  <si>
    <t>open shelves</t>
  </si>
  <si>
    <t>reading habits</t>
  </si>
  <si>
    <t>social isolation</t>
  </si>
  <si>
    <t>therapy method</t>
  </si>
  <si>
    <t>recommendation</t>
  </si>
  <si>
    <t>5-8横向测试</t>
  </si>
  <si>
    <t>abilities</t>
  </si>
  <si>
    <t>buses</t>
  </si>
  <si>
    <t>course fee</t>
  </si>
  <si>
    <t>environment agency</t>
  </si>
  <si>
    <t>further education</t>
  </si>
  <si>
    <t>ice curling</t>
  </si>
  <si>
    <t>local school</t>
  </si>
  <si>
    <t>open-book exam</t>
  </si>
  <si>
    <t>reading hits</t>
  </si>
  <si>
    <t>social issues</t>
  </si>
  <si>
    <t>tilled land</t>
  </si>
  <si>
    <t>annex</t>
  </si>
  <si>
    <t>5-9横向测试</t>
  </si>
  <si>
    <t>academic English</t>
  </si>
  <si>
    <t>bus pass</t>
  </si>
  <si>
    <t>course and materials</t>
  </si>
  <si>
    <t>environmental damage</t>
  </si>
  <si>
    <t>Garden Hall</t>
  </si>
  <si>
    <t>ice pack</t>
  </si>
  <si>
    <t>local shop</t>
  </si>
  <si>
    <t>optic examination</t>
  </si>
  <si>
    <t>reading list</t>
  </si>
  <si>
    <t>social matter effects</t>
  </si>
  <si>
    <t>third floor</t>
  </si>
  <si>
    <t>according</t>
  </si>
  <si>
    <t>5-10横向测试</t>
  </si>
  <si>
    <t>academic problems</t>
  </si>
  <si>
    <t>bus routes</t>
  </si>
  <si>
    <t>course director</t>
  </si>
  <si>
    <t>environmental issues</t>
  </si>
  <si>
    <t>garden tools</t>
  </si>
  <si>
    <t>ice skating</t>
  </si>
  <si>
    <t>local student</t>
  </si>
  <si>
    <t>optional course</t>
  </si>
  <si>
    <t>reading session</t>
  </si>
  <si>
    <t>social matters</t>
  </si>
  <si>
    <t>third-year student</t>
  </si>
  <si>
    <t>breeding</t>
  </si>
  <si>
    <t>5-11横向测试</t>
  </si>
  <si>
    <t>academic system</t>
  </si>
  <si>
    <t>business card</t>
  </si>
  <si>
    <t>cover the cost</t>
  </si>
  <si>
    <t>environmental science</t>
  </si>
  <si>
    <t>generation of electricity</t>
  </si>
  <si>
    <t>identities</t>
  </si>
  <si>
    <t>local tribes</t>
  </si>
  <si>
    <t>optional expenses</t>
  </si>
  <si>
    <t>recall library books</t>
  </si>
  <si>
    <t>social problems</t>
  </si>
  <si>
    <t>thinking pattern</t>
  </si>
  <si>
    <t>surrounding</t>
  </si>
  <si>
    <t>5-12横向测试</t>
  </si>
  <si>
    <t>academic teaching staff</t>
  </si>
  <si>
    <t>business class</t>
  </si>
  <si>
    <t>craft goods</t>
  </si>
  <si>
    <t>environmental studies</t>
  </si>
  <si>
    <t>gas station</t>
  </si>
  <si>
    <t>identity card</t>
  </si>
  <si>
    <t>lookout points</t>
  </si>
  <si>
    <t>oral defence</t>
  </si>
  <si>
    <t>recall system</t>
  </si>
  <si>
    <t>social status</t>
  </si>
  <si>
    <t>way of thinking</t>
  </si>
  <si>
    <t>cooking</t>
  </si>
  <si>
    <t>accommodation expense</t>
  </si>
  <si>
    <t>business culture</t>
  </si>
  <si>
    <t>credit card</t>
  </si>
  <si>
    <t>environmentally-friendly</t>
  </si>
  <si>
    <t>general election</t>
  </si>
  <si>
    <t>illegal profits</t>
  </si>
  <si>
    <t>lock all windows</t>
  </si>
  <si>
    <t>orange juice</t>
  </si>
  <si>
    <t>receive prizes</t>
  </si>
  <si>
    <t>social workers</t>
  </si>
  <si>
    <t>timetable</t>
  </si>
  <si>
    <t>account</t>
  </si>
  <si>
    <t>accommodation fee</t>
  </si>
  <si>
    <t>business ethics</t>
  </si>
  <si>
    <t>creeks</t>
  </si>
  <si>
    <t>Evening News</t>
  </si>
  <si>
    <t>general English</t>
  </si>
  <si>
    <t>in visible view</t>
  </si>
  <si>
    <t>long-term loan</t>
  </si>
  <si>
    <t>ordinary farmers</t>
  </si>
  <si>
    <t>reception area</t>
  </si>
  <si>
    <t>soft drinks</t>
  </si>
  <si>
    <t>time measurement</t>
  </si>
  <si>
    <t>accountancy</t>
  </si>
  <si>
    <t>accommodation form</t>
  </si>
  <si>
    <t>business faculty</t>
  </si>
  <si>
    <t>crime awareness</t>
  </si>
  <si>
    <t>evening appointment</t>
  </si>
  <si>
    <t>general English practice</t>
  </si>
  <si>
    <t>immune system</t>
  </si>
  <si>
    <t xml:space="preserve">loss of soil </t>
  </si>
  <si>
    <t>organic farming</t>
  </si>
  <si>
    <t>reception centre</t>
  </si>
  <si>
    <t>soft toys</t>
  </si>
  <si>
    <t>time priority</t>
  </si>
  <si>
    <t>acounting</t>
  </si>
  <si>
    <t>accountants</t>
  </si>
  <si>
    <t>business studies</t>
  </si>
  <si>
    <t>crime rate</t>
  </si>
  <si>
    <t>exercise one's muscles</t>
  </si>
  <si>
    <t>general health</t>
  </si>
  <si>
    <t>in advance</t>
  </si>
  <si>
    <t>lose temper</t>
  </si>
  <si>
    <t>organic fiber</t>
  </si>
  <si>
    <t>reception desk</t>
  </si>
  <si>
    <t>sound efect</t>
  </si>
  <si>
    <t>time management</t>
  </si>
  <si>
    <t>addition</t>
  </si>
  <si>
    <t>action plan</t>
  </si>
  <si>
    <t>business trip</t>
  </si>
  <si>
    <t>cross passage</t>
  </si>
  <si>
    <t>exhibition of instruments</t>
  </si>
  <si>
    <t>general ideas</t>
  </si>
  <si>
    <t>in chemistry lab</t>
  </si>
  <si>
    <t>loudspeaker</t>
  </si>
  <si>
    <t>organic food</t>
  </si>
  <si>
    <t>recreation therapy</t>
  </si>
  <si>
    <t>solar system</t>
  </si>
  <si>
    <t>title of essay</t>
  </si>
  <si>
    <t>added panic</t>
  </si>
  <si>
    <t>cages</t>
  </si>
  <si>
    <t>cultural differences</t>
  </si>
  <si>
    <t>experimental for construction</t>
  </si>
  <si>
    <t>general method</t>
  </si>
  <si>
    <t>in circles</t>
  </si>
  <si>
    <t>love story</t>
  </si>
  <si>
    <t>organic material</t>
  </si>
  <si>
    <t>recruit method</t>
  </si>
  <si>
    <t>solar power</t>
  </si>
  <si>
    <t>to some degree</t>
  </si>
  <si>
    <t>address</t>
  </si>
  <si>
    <t>admission card</t>
  </si>
  <si>
    <t>cabin keys</t>
  </si>
  <si>
    <t>culture shock</t>
  </si>
  <si>
    <t>experimental facilities</t>
  </si>
  <si>
    <t>general science</t>
  </si>
  <si>
    <t>in circulation</t>
  </si>
  <si>
    <t>low nutrition</t>
  </si>
  <si>
    <t>Oriental studies</t>
  </si>
  <si>
    <t>recycling material</t>
  </si>
  <si>
    <t>sore throat</t>
  </si>
  <si>
    <t>to some extent</t>
  </si>
  <si>
    <t>dress</t>
  </si>
  <si>
    <t>admission office</t>
  </si>
  <si>
    <t>cable car</t>
  </si>
  <si>
    <t>curve chart</t>
  </si>
  <si>
    <t>expected duration</t>
  </si>
  <si>
    <t>geography trip</t>
  </si>
  <si>
    <t>Indian Ocean</t>
  </si>
  <si>
    <t>low-frequency noise</t>
  </si>
  <si>
    <t>original reason</t>
  </si>
  <si>
    <t>Red Flag</t>
  </si>
  <si>
    <t>spare time</t>
  </si>
  <si>
    <t>toilet facilities</t>
  </si>
  <si>
    <t>dressing</t>
  </si>
  <si>
    <t>adult students</t>
  </si>
  <si>
    <t>circulation desk</t>
  </si>
  <si>
    <t>currency form</t>
  </si>
  <si>
    <t>express train</t>
  </si>
  <si>
    <t>geographic location</t>
  </si>
  <si>
    <t>incoming calls</t>
  </si>
  <si>
    <t>low income</t>
  </si>
  <si>
    <t>out circulation</t>
  </si>
  <si>
    <t>red kangaroo</t>
  </si>
  <si>
    <t>spare parts</t>
  </si>
  <si>
    <t>too much work</t>
  </si>
  <si>
    <t>assessment</t>
  </si>
  <si>
    <t>advanced course</t>
  </si>
  <si>
    <t>current account</t>
  </si>
  <si>
    <t>express way</t>
  </si>
  <si>
    <t>geographical value</t>
  </si>
  <si>
    <t>Independence Day</t>
  </si>
  <si>
    <t>magazines and journals</t>
  </si>
  <si>
    <t>out of temper</t>
  </si>
  <si>
    <t>red meat</t>
  </si>
  <si>
    <t>spare socks</t>
  </si>
  <si>
    <t>tomatoes</t>
  </si>
  <si>
    <t>admission</t>
  </si>
  <si>
    <t>advanced degree</t>
  </si>
  <si>
    <t>campus crime</t>
  </si>
  <si>
    <t>cycling route</t>
  </si>
  <si>
    <t>extension number</t>
  </si>
  <si>
    <t>give sb. a sack</t>
  </si>
  <si>
    <t>industrial material</t>
  </si>
  <si>
    <t>magical animals</t>
  </si>
  <si>
    <t>out on loan</t>
  </si>
  <si>
    <t>reference books</t>
  </si>
  <si>
    <t>space shuttle</t>
  </si>
  <si>
    <t>tones</t>
  </si>
  <si>
    <t>commission</t>
  </si>
  <si>
    <t>Advanced English Studies</t>
  </si>
  <si>
    <t>candles</t>
  </si>
  <si>
    <t>customs service</t>
  </si>
  <si>
    <t>extensive writing</t>
  </si>
  <si>
    <t>given name</t>
  </si>
  <si>
    <t>information board</t>
  </si>
  <si>
    <t>machines and robots</t>
  </si>
  <si>
    <t>outside activity</t>
  </si>
  <si>
    <t>reference skills</t>
  </si>
  <si>
    <t>special audio equipment</t>
  </si>
  <si>
    <t>top shelf</t>
  </si>
  <si>
    <t>depression</t>
  </si>
  <si>
    <t>agrarian reform</t>
  </si>
  <si>
    <t>cannot meet the deadline</t>
  </si>
  <si>
    <t>cut and polished</t>
  </si>
  <si>
    <t>exchange drafts</t>
  </si>
  <si>
    <t>give a prescription</t>
  </si>
  <si>
    <t>information video</t>
  </si>
  <si>
    <t>martial art</t>
  </si>
  <si>
    <t>overall aim of the health club</t>
  </si>
  <si>
    <t>reference stacks</t>
  </si>
  <si>
    <t>special chemicals</t>
  </si>
  <si>
    <t>top ten</t>
  </si>
  <si>
    <t>affects</t>
  </si>
  <si>
    <t>ahead of time</t>
  </si>
  <si>
    <t xml:space="preserve">car model </t>
  </si>
  <si>
    <t>damages</t>
  </si>
  <si>
    <t>extra charge</t>
  </si>
  <si>
    <t>give up</t>
  </si>
  <si>
    <t>information desk</t>
  </si>
  <si>
    <t>maid servant</t>
  </si>
  <si>
    <t>overall trend</t>
  </si>
  <si>
    <t>refresher course</t>
  </si>
  <si>
    <t>touching rocks</t>
  </si>
  <si>
    <t>effects</t>
  </si>
  <si>
    <t>aim of lecture</t>
  </si>
  <si>
    <t>car rental</t>
  </si>
  <si>
    <t>dark clothes</t>
  </si>
  <si>
    <t>extra workload</t>
  </si>
  <si>
    <t>give a speech</t>
  </si>
  <si>
    <t>information page</t>
  </si>
  <si>
    <t>mails</t>
  </si>
  <si>
    <t>overdue and pay a fine</t>
  </si>
  <si>
    <t>registered mail</t>
  </si>
  <si>
    <t>special offers</t>
  </si>
  <si>
    <t>tour guide</t>
  </si>
  <si>
    <t>aims</t>
  </si>
  <si>
    <t>car tires=car tyres</t>
  </si>
  <si>
    <t>dark trousers</t>
  </si>
  <si>
    <t>ethical film</t>
  </si>
  <si>
    <t>give confirmation</t>
  </si>
  <si>
    <t>information sector</t>
  </si>
  <si>
    <t>malling list</t>
  </si>
  <si>
    <t>overhead projector</t>
  </si>
  <si>
    <t>regular meetings</t>
  </si>
  <si>
    <t>special party hats</t>
  </si>
  <si>
    <t>tourism organization</t>
  </si>
  <si>
    <t>air pollution</t>
  </si>
  <si>
    <t>card index</t>
  </si>
  <si>
    <t>dateline</t>
  </si>
  <si>
    <t>eye doctor</t>
  </si>
  <si>
    <t>get feedback</t>
  </si>
  <si>
    <t>inland region</t>
  </si>
  <si>
    <t>major in nursing</t>
  </si>
  <si>
    <t>overhead view</t>
  </si>
  <si>
    <t>regulations</t>
  </si>
  <si>
    <t>special rule</t>
  </si>
  <si>
    <t>tourist brochures</t>
  </si>
  <si>
    <t>appeal</t>
  </si>
  <si>
    <t>air pump</t>
  </si>
  <si>
    <t>card catalog=card catalogue</t>
  </si>
  <si>
    <t>data analysis</t>
  </si>
  <si>
    <t>eye contacts</t>
  </si>
  <si>
    <t>guide book</t>
  </si>
  <si>
    <t>initial migration</t>
  </si>
  <si>
    <t>main course</t>
  </si>
  <si>
    <t>overseas student</t>
  </si>
  <si>
    <t>reinforced by wood and steel</t>
  </si>
  <si>
    <t>specialist engine design</t>
  </si>
  <si>
    <t>Town Hall</t>
  </si>
  <si>
    <t>annual</t>
  </si>
  <si>
    <t>air shuttle bus</t>
  </si>
  <si>
    <t>comment card</t>
  </si>
  <si>
    <t>data assessment</t>
  </si>
  <si>
    <t>essay plan</t>
  </si>
  <si>
    <t>guided tour</t>
  </si>
  <si>
    <t>injection of vaccine</t>
  </si>
  <si>
    <t>main entrance</t>
  </si>
  <si>
    <t>hitchhike</t>
  </si>
  <si>
    <t>relate to</t>
  </si>
  <si>
    <t>specialized course</t>
  </si>
  <si>
    <t>toy factory</t>
  </si>
  <si>
    <t>arrival</t>
  </si>
  <si>
    <t>air conditioner</t>
  </si>
  <si>
    <t>carbon dioxide</t>
  </si>
  <si>
    <t>date of birth</t>
  </si>
  <si>
    <t>extinct species</t>
  </si>
  <si>
    <t>go to hospital</t>
  </si>
  <si>
    <t>institutes</t>
  </si>
  <si>
    <t>main hall</t>
  </si>
  <si>
    <t>packages</t>
  </si>
  <si>
    <t>remain steady</t>
  </si>
  <si>
    <t>specialized museum</t>
  </si>
  <si>
    <t xml:space="preserve">traffic flow </t>
  </si>
  <si>
    <t>applicant</t>
  </si>
  <si>
    <t>alarm system</t>
  </si>
  <si>
    <t>carve</t>
  </si>
  <si>
    <t>date of expiry</t>
  </si>
  <si>
    <t>face-to-face interview</t>
  </si>
  <si>
    <t>global listening</t>
  </si>
  <si>
    <t>institutions</t>
  </si>
  <si>
    <t>main kitchen</t>
  </si>
  <si>
    <t>package tour</t>
  </si>
  <si>
    <t>replacement of jobs</t>
  </si>
  <si>
    <t>specialized sports fcilitie</t>
  </si>
  <si>
    <t>traffic jam</t>
  </si>
  <si>
    <t>application</t>
  </si>
  <si>
    <t>alternative energies</t>
  </si>
  <si>
    <t>carving wood</t>
  </si>
  <si>
    <t>date slip</t>
  </si>
  <si>
    <t>failure rate</t>
  </si>
  <si>
    <t>global warming</t>
  </si>
  <si>
    <t>insects haunting</t>
  </si>
  <si>
    <t>main library</t>
  </si>
  <si>
    <t>packing list</t>
  </si>
  <si>
    <t>replacement policy</t>
  </si>
  <si>
    <t>species in rare animal area</t>
  </si>
  <si>
    <t>traffic lights</t>
  </si>
  <si>
    <t>ATM</t>
  </si>
  <si>
    <t>case study</t>
  </si>
  <si>
    <t>day pupil</t>
  </si>
  <si>
    <t>family medical history</t>
  </si>
  <si>
    <t>gold medal</t>
  </si>
  <si>
    <t>instructors</t>
  </si>
  <si>
    <t>make an appointment</t>
  </si>
  <si>
    <t>Pacific Ocean</t>
  </si>
  <si>
    <t>required course</t>
  </si>
  <si>
    <t>species of crocodiles</t>
  </si>
  <si>
    <t>traffic rules</t>
  </si>
  <si>
    <t>appliance</t>
  </si>
  <si>
    <t>amusement park</t>
  </si>
  <si>
    <t>case studies</t>
  </si>
  <si>
    <t>day school</t>
  </si>
  <si>
    <t>familiar with</t>
  </si>
  <si>
    <t>Gold Street</t>
  </si>
  <si>
    <t>instruction of handbook</t>
  </si>
  <si>
    <t>make plans</t>
  </si>
  <si>
    <t>paddling pool</t>
  </si>
  <si>
    <t>research approach</t>
  </si>
  <si>
    <t>spending plans</t>
  </si>
  <si>
    <t>traffic safety</t>
  </si>
  <si>
    <t>approach</t>
  </si>
  <si>
    <t>an educational film</t>
  </si>
  <si>
    <t>choices for facilities</t>
  </si>
  <si>
    <t>day shift</t>
  </si>
  <si>
    <t>family abuse</t>
  </si>
  <si>
    <t>Golf Club</t>
  </si>
  <si>
    <t>instant coffee</t>
  </si>
  <si>
    <t>map of cave</t>
  </si>
  <si>
    <t>pages</t>
  </si>
  <si>
    <t>research assistant</t>
  </si>
  <si>
    <t>spiders</t>
  </si>
  <si>
    <t>transportation card</t>
  </si>
  <si>
    <t>appointment</t>
  </si>
  <si>
    <t>analyse data</t>
  </si>
  <si>
    <t>cassette recorders</t>
  </si>
  <si>
    <t>debts</t>
  </si>
  <si>
    <t>family ticket</t>
  </si>
  <si>
    <t>good eyesight</t>
  </si>
  <si>
    <t>interpersonal skills</t>
  </si>
  <si>
    <t>manage time better</t>
  </si>
  <si>
    <t>pal group relationship</t>
  </si>
  <si>
    <t>research findings</t>
  </si>
  <si>
    <t>spiral notebook</t>
  </si>
  <si>
    <t>travel agency</t>
  </si>
  <si>
    <t>approval</t>
  </si>
  <si>
    <t>ancient temple</t>
  </si>
  <si>
    <t>CD player</t>
  </si>
  <si>
    <t>decades</t>
  </si>
  <si>
    <t>family name</t>
  </si>
  <si>
    <t>good shoes</t>
  </si>
  <si>
    <t>insurance companies</t>
  </si>
  <si>
    <t>manmade dam</t>
  </si>
  <si>
    <t>palaces</t>
  </si>
  <si>
    <t>research methods</t>
  </si>
  <si>
    <t>sports article</t>
  </si>
  <si>
    <t>travel package</t>
  </si>
  <si>
    <t>approximate</t>
  </si>
  <si>
    <t>annual membership fee</t>
  </si>
  <si>
    <t>CD-ROM</t>
  </si>
  <si>
    <t>decayed teeth</t>
  </si>
  <si>
    <t>family relationship</t>
  </si>
  <si>
    <t>good steering</t>
  </si>
  <si>
    <t>insurance company</t>
  </si>
  <si>
    <t>manual facilities</t>
  </si>
  <si>
    <t>palm tree</t>
  </si>
  <si>
    <t>research opportunities</t>
  </si>
  <si>
    <t>sports suit</t>
  </si>
  <si>
    <t>traveller's check</t>
  </si>
  <si>
    <t>assistanc</t>
  </si>
  <si>
    <t>answer questions</t>
  </si>
  <si>
    <t>casual clothes</t>
  </si>
  <si>
    <t>decoration balloons</t>
  </si>
  <si>
    <t>fancy dress</t>
  </si>
  <si>
    <t>goodbye party</t>
  </si>
  <si>
    <t>intensive course</t>
  </si>
  <si>
    <t>market research</t>
  </si>
  <si>
    <t>paper jam</t>
  </si>
  <si>
    <t>research results</t>
  </si>
  <si>
    <t>sports centr</t>
  </si>
  <si>
    <t>treatment method</t>
  </si>
  <si>
    <t>assistant</t>
  </si>
  <si>
    <t>ant intelligence</t>
  </si>
  <si>
    <t>casual wear</t>
  </si>
  <si>
    <t>deliver a speech</t>
  </si>
  <si>
    <t>fancy ball</t>
  </si>
  <si>
    <t>government policy</t>
  </si>
  <si>
    <t>intensive study</t>
  </si>
  <si>
    <t>market cycle</t>
  </si>
  <si>
    <t>parent's meeting's aim</t>
  </si>
  <si>
    <t>sports hall</t>
  </si>
  <si>
    <t>Trinity College</t>
  </si>
  <si>
    <t>associate</t>
  </si>
  <si>
    <t>antibiotics and acid</t>
  </si>
  <si>
    <t>charges</t>
  </si>
  <si>
    <t>delivery desk</t>
  </si>
  <si>
    <t>fancy dress party</t>
  </si>
  <si>
    <t>government-funded</t>
  </si>
  <si>
    <t>interlibrary service</t>
  </si>
  <si>
    <t>market economy</t>
  </si>
  <si>
    <t>parental teaching</t>
  </si>
  <si>
    <t>resident student</t>
  </si>
  <si>
    <t>sports shoes</t>
  </si>
  <si>
    <t>tropical diseases</t>
  </si>
  <si>
    <t>association</t>
  </si>
  <si>
    <t>appearances</t>
  </si>
  <si>
    <t>cater to</t>
  </si>
  <si>
    <t>department building</t>
  </si>
  <si>
    <t>falcons</t>
  </si>
  <si>
    <t>grasp keywords</t>
  </si>
  <si>
    <t>intermediate course</t>
  </si>
  <si>
    <t>marketing management</t>
  </si>
  <si>
    <t>part-time job</t>
  </si>
  <si>
    <t>residential college</t>
  </si>
  <si>
    <t>spinose plants</t>
  </si>
  <si>
    <t>tuition fee</t>
  </si>
  <si>
    <t>attachment</t>
  </si>
  <si>
    <t>apple juice</t>
  </si>
  <si>
    <t>catering facilities</t>
  </si>
  <si>
    <t>department store</t>
  </si>
  <si>
    <t>farewell party</t>
  </si>
  <si>
    <t>graduate school</t>
  </si>
  <si>
    <t>internal clock</t>
  </si>
  <si>
    <t>marketing research</t>
  </si>
  <si>
    <t>part-time</t>
  </si>
  <si>
    <t>resistance from parents</t>
  </si>
  <si>
    <t>stack system</t>
  </si>
  <si>
    <t>tutorial system</t>
  </si>
  <si>
    <t>attack</t>
  </si>
  <si>
    <t>application form</t>
  </si>
  <si>
    <t>catering staff</t>
  </si>
  <si>
    <t>departmental address</t>
  </si>
  <si>
    <t>farming products</t>
  </si>
  <si>
    <t>graduation announcements</t>
  </si>
  <si>
    <t>international club</t>
  </si>
  <si>
    <t>marketing techniques</t>
  </si>
  <si>
    <t>party wears</t>
  </si>
  <si>
    <t>resource management</t>
  </si>
  <si>
    <t>stacks</t>
  </si>
  <si>
    <t>twin room</t>
  </si>
  <si>
    <t>attempt</t>
  </si>
  <si>
    <t>applied mathematics</t>
  </si>
  <si>
    <t>center hall</t>
  </si>
  <si>
    <t>desire to learn</t>
  </si>
  <si>
    <t>fear of unemployment</t>
  </si>
  <si>
    <t>grain pattern of timber</t>
  </si>
  <si>
    <t>international evening</t>
  </si>
  <si>
    <t>marketing seminar</t>
  </si>
  <si>
    <t>passport photos</t>
  </si>
  <si>
    <t>resource protection</t>
  </si>
  <si>
    <t>standard of education</t>
  </si>
  <si>
    <t>TV series</t>
  </si>
  <si>
    <t>attitude</t>
  </si>
  <si>
    <t>applied science</t>
  </si>
  <si>
    <t>center manager</t>
  </si>
  <si>
    <t>desk lamp</t>
  </si>
  <si>
    <t>feel one's pulse</t>
  </si>
  <si>
    <t>grain pattern</t>
  </si>
  <si>
    <t>international student card</t>
  </si>
  <si>
    <t>marketing strategies</t>
  </si>
  <si>
    <t>pay for loss</t>
  </si>
  <si>
    <t>resource sharing</t>
  </si>
  <si>
    <t>standard suite</t>
  </si>
  <si>
    <t>TV chat show</t>
  </si>
  <si>
    <t>attend</t>
  </si>
  <si>
    <t>architecture style</t>
  </si>
  <si>
    <t>central heating</t>
  </si>
  <si>
    <t>details</t>
  </si>
  <si>
    <t>female corpse study</t>
  </si>
  <si>
    <t>great favourites</t>
  </si>
  <si>
    <t>international student</t>
  </si>
  <si>
    <t>mass media</t>
  </si>
  <si>
    <t>payment method</t>
  </si>
  <si>
    <t>resources room</t>
  </si>
  <si>
    <t>stars</t>
  </si>
  <si>
    <t>under pressure</t>
  </si>
  <si>
    <t>attendance</t>
  </si>
  <si>
    <t>Arctic Ocean</t>
  </si>
  <si>
    <t>Central Avenue</t>
  </si>
  <si>
    <t>detective film</t>
  </si>
  <si>
    <t>field method</t>
  </si>
  <si>
    <t>ground floor</t>
  </si>
  <si>
    <t>Internet access</t>
  </si>
  <si>
    <t>mind map</t>
  </si>
  <si>
    <t>per day</t>
  </si>
  <si>
    <t>respect the local environment</t>
  </si>
  <si>
    <t>starter projec</t>
  </si>
  <si>
    <t>undergo processing</t>
  </si>
  <si>
    <t>attention</t>
  </si>
  <si>
    <t>Atlantic Ocean</t>
  </si>
  <si>
    <t>Central Park</t>
  </si>
  <si>
    <t>digital camera</t>
  </si>
  <si>
    <t>field system</t>
  </si>
  <si>
    <t>green waste</t>
  </si>
  <si>
    <t>Internet cafe</t>
  </si>
  <si>
    <t>Master's degree</t>
  </si>
  <si>
    <t>per month</t>
  </si>
  <si>
    <t>result from</t>
  </si>
  <si>
    <t>starting point</t>
  </si>
  <si>
    <t>underground car park</t>
  </si>
  <si>
    <t>avoid touching rocks</t>
  </si>
  <si>
    <t>Central Station</t>
  </si>
  <si>
    <t>digital system</t>
  </si>
  <si>
    <t>field trip</t>
  </si>
  <si>
    <t>greyhound bus</t>
  </si>
  <si>
    <t>Internet system</t>
  </si>
  <si>
    <t>Master Card</t>
  </si>
  <si>
    <t>per person</t>
  </si>
  <si>
    <t>result in</t>
  </si>
  <si>
    <t>states</t>
  </si>
  <si>
    <t>underground railway</t>
  </si>
  <si>
    <t>business</t>
  </si>
  <si>
    <t>arm badge</t>
  </si>
  <si>
    <t>certificate of childcare</t>
  </si>
  <si>
    <t>different levels</t>
  </si>
  <si>
    <t>field work</t>
  </si>
  <si>
    <t>group discussion</t>
  </si>
  <si>
    <t>investigators</t>
  </si>
  <si>
    <t>meat and cheese</t>
  </si>
  <si>
    <t>per week</t>
  </si>
  <si>
    <t>review of literature</t>
  </si>
  <si>
    <t>steak set</t>
  </si>
  <si>
    <t>unhealthy diet</t>
  </si>
  <si>
    <t>balloon</t>
  </si>
  <si>
    <t>arrive at one's destination</t>
  </si>
  <si>
    <t>charitable organization</t>
  </si>
  <si>
    <t>dining hall</t>
  </si>
  <si>
    <t>film festival</t>
  </si>
  <si>
    <t>gym membership</t>
  </si>
  <si>
    <t>irrigable land</t>
  </si>
  <si>
    <t>mathematic formula</t>
  </si>
  <si>
    <t>per year</t>
  </si>
  <si>
    <t>review promptly</t>
  </si>
  <si>
    <t>steam engine ship</t>
  </si>
  <si>
    <t>Union Bank</t>
  </si>
  <si>
    <t>cartoon</t>
  </si>
  <si>
    <t>art gallery</t>
  </si>
  <si>
    <t>charity hospital</t>
  </si>
  <si>
    <t>dining room</t>
  </si>
  <si>
    <t>film studio</t>
  </si>
  <si>
    <t>hens</t>
  </si>
  <si>
    <t>isolated spot</t>
  </si>
  <si>
    <t>mature students</t>
  </si>
  <si>
    <t>permit required</t>
  </si>
  <si>
    <t>rice cultivation</t>
  </si>
  <si>
    <t>steel and wood</t>
  </si>
  <si>
    <t>units of measurement</t>
  </si>
  <si>
    <t>spoon</t>
  </si>
  <si>
    <t>art museum</t>
  </si>
  <si>
    <t>check in</t>
  </si>
  <si>
    <t>diseases</t>
  </si>
  <si>
    <t>financial advice</t>
  </si>
  <si>
    <t>high wind</t>
  </si>
  <si>
    <t>job interview</t>
  </si>
  <si>
    <t>media studies</t>
  </si>
  <si>
    <t>personal alarm</t>
  </si>
  <si>
    <t>Riverside Restaurant</t>
  </si>
  <si>
    <t>stiff neck</t>
  </si>
  <si>
    <t>University Drive</t>
  </si>
  <si>
    <t>billion</t>
  </si>
  <si>
    <t>articles from journal</t>
  </si>
  <si>
    <t>check out</t>
  </si>
  <si>
    <t>distant deadline</t>
  </si>
  <si>
    <t>financial affairs</t>
  </si>
  <si>
    <t>half human</t>
  </si>
  <si>
    <t>jaws</t>
  </si>
  <si>
    <t>media centre</t>
  </si>
  <si>
    <t>personal statement</t>
  </si>
  <si>
    <t>Rose Lane</t>
  </si>
  <si>
    <t>still water</t>
  </si>
  <si>
    <t>university facilities</t>
  </si>
  <si>
    <t>ballroom</t>
  </si>
  <si>
    <t>artistic approach</t>
  </si>
  <si>
    <t>distance learning</t>
  </si>
  <si>
    <t>financial budget</t>
  </si>
  <si>
    <t>half term</t>
  </si>
  <si>
    <t>joint membership</t>
  </si>
  <si>
    <t>media room</t>
  </si>
  <si>
    <t>personal trainer</t>
  </si>
  <si>
    <t>robots</t>
  </si>
  <si>
    <t>stock market</t>
  </si>
  <si>
    <t>university guide</t>
  </si>
  <si>
    <t>bathroom</t>
  </si>
  <si>
    <t>Asian studies</t>
  </si>
  <si>
    <t>chest infection</t>
  </si>
  <si>
    <t>divorce rate</t>
  </si>
  <si>
    <t>financial department</t>
  </si>
  <si>
    <t>hard-hoofed animals</t>
  </si>
  <si>
    <t>keepers</t>
  </si>
  <si>
    <t>medical science</t>
  </si>
  <si>
    <t>PHD</t>
  </si>
  <si>
    <t>rock salt</t>
  </si>
  <si>
    <t>stomach and heart</t>
  </si>
  <si>
    <t>University of Wollongong</t>
  </si>
  <si>
    <t>playroom</t>
  </si>
  <si>
    <t>assessment methods</t>
  </si>
  <si>
    <t>chemistry lab</t>
  </si>
  <si>
    <t>distinguishing feature</t>
  </si>
  <si>
    <t>financial executive</t>
  </si>
  <si>
    <t>hall of residence</t>
  </si>
  <si>
    <t>jump the queue</t>
  </si>
  <si>
    <t>medical centre</t>
  </si>
  <si>
    <t>philosophers</t>
  </si>
  <si>
    <t>romance story</t>
  </si>
  <si>
    <t>stomach muscles training</t>
  </si>
  <si>
    <t>university resource</t>
  </si>
  <si>
    <t>roommate</t>
  </si>
  <si>
    <t>assessment of patients</t>
  </si>
  <si>
    <t>Church Road</t>
  </si>
  <si>
    <t>distribution of population</t>
  </si>
  <si>
    <t>financial goals</t>
  </si>
  <si>
    <t>halls of residence</t>
  </si>
  <si>
    <t>jump the line</t>
  </si>
  <si>
    <t>medical history</t>
  </si>
  <si>
    <t>phone bill</t>
  </si>
  <si>
    <t>Rose Garden</t>
  </si>
  <si>
    <t>stones</t>
  </si>
  <si>
    <t>unsocial hours</t>
  </si>
  <si>
    <t>barren</t>
  </si>
  <si>
    <t>assistant professor</t>
  </si>
  <si>
    <t>chequebook</t>
  </si>
  <si>
    <t>downward trend</t>
  </si>
  <si>
    <t>financial market</t>
  </si>
  <si>
    <t>hand pump</t>
  </si>
  <si>
    <t>killer whales</t>
  </si>
  <si>
    <t>booklist=book list</t>
  </si>
  <si>
    <t>photocopies of notes</t>
  </si>
  <si>
    <t>row house</t>
  </si>
  <si>
    <t>storage space</t>
  </si>
  <si>
    <t>upward trend</t>
  </si>
  <si>
    <t>barrier</t>
  </si>
  <si>
    <t>associate with</t>
  </si>
  <si>
    <t>cheque card</t>
  </si>
  <si>
    <t>do training courses</t>
  </si>
  <si>
    <t>financial organization</t>
  </si>
  <si>
    <t>hands broken</t>
  </si>
  <si>
    <t>Kungfu film</t>
  </si>
  <si>
    <t>membership consultant</t>
  </si>
  <si>
    <t>photocopies of articles</t>
  </si>
  <si>
    <t>round trip ticket</t>
  </si>
  <si>
    <t>storehouse and temples</t>
  </si>
  <si>
    <t>urban area</t>
  </si>
  <si>
    <t>better</t>
  </si>
  <si>
    <t>assume the responsibility</t>
  </si>
  <si>
    <t>concentrate on</t>
  </si>
  <si>
    <t>Doctor's degree</t>
  </si>
  <si>
    <t>financial policy</t>
  </si>
  <si>
    <t>have access to</t>
  </si>
  <si>
    <t>kelp forest</t>
  </si>
  <si>
    <t>membership of a club</t>
  </si>
  <si>
    <t>photocopy of article</t>
  </si>
  <si>
    <t>round trip</t>
  </si>
  <si>
    <t>stories</t>
  </si>
  <si>
    <t>vacuum cleaner</t>
  </si>
  <si>
    <t>buffet</t>
  </si>
  <si>
    <t>at least</t>
  </si>
  <si>
    <t>circus performance</t>
  </si>
  <si>
    <t>domestic factors</t>
  </si>
  <si>
    <t>financial problems</t>
  </si>
  <si>
    <t>harmful insects</t>
  </si>
  <si>
    <t>key approach</t>
  </si>
  <si>
    <t>mental ability</t>
  </si>
  <si>
    <t>photocopy office</t>
  </si>
  <si>
    <t>route map</t>
  </si>
  <si>
    <t>story conference</t>
  </si>
  <si>
    <t>vacuum the stairs</t>
  </si>
  <si>
    <t>beginner</t>
  </si>
  <si>
    <t>area for improvement</t>
  </si>
  <si>
    <t>Children's Day</t>
  </si>
  <si>
    <t>domestic student</t>
  </si>
  <si>
    <t>financial shortage</t>
  </si>
  <si>
    <t>harmful to humans</t>
  </si>
  <si>
    <t>key to reception</t>
  </si>
  <si>
    <t>mental education</t>
  </si>
  <si>
    <t>physical activities</t>
  </si>
  <si>
    <t>road map</t>
  </si>
  <si>
    <t>vary according to the type, shape</t>
  </si>
  <si>
    <t>beginning</t>
  </si>
  <si>
    <t>awards</t>
  </si>
  <si>
    <t>cheese production</t>
  </si>
  <si>
    <t>domestic violence</t>
  </si>
  <si>
    <t>financial source</t>
  </si>
  <si>
    <t>have strong hearts and lungs</t>
  </si>
  <si>
    <t>keywords</t>
  </si>
  <si>
    <t>microwave oven</t>
  </si>
  <si>
    <t>physical education</t>
  </si>
  <si>
    <t>royal commission</t>
  </si>
  <si>
    <t>stress management</t>
  </si>
  <si>
    <t>vary one's diet</t>
  </si>
  <si>
    <t>planner</t>
  </si>
  <si>
    <t>atmospheric pollution</t>
  </si>
  <si>
    <t>city's expansion</t>
  </si>
  <si>
    <t>door key</t>
  </si>
  <si>
    <t>fine arts</t>
  </si>
  <si>
    <t>have an operation</t>
  </si>
  <si>
    <t>kick sb. out of work</t>
  </si>
  <si>
    <t>mid-autumn festival</t>
  </si>
  <si>
    <t>physical surroundings</t>
  </si>
  <si>
    <t>rubber blanket，</t>
  </si>
  <si>
    <t>vegetable burger</t>
  </si>
  <si>
    <t>planning</t>
  </si>
  <si>
    <t>atmospheric warming</t>
  </si>
  <si>
    <t>city council</t>
  </si>
  <si>
    <t>door-to-door service</t>
  </si>
  <si>
    <t>fine texture</t>
  </si>
  <si>
    <t>have high rank in geography</t>
  </si>
  <si>
    <t>king-sized bed</t>
  </si>
  <si>
    <t>midmorning snacks</t>
  </si>
  <si>
    <t>physical therapy</t>
  </si>
  <si>
    <t>rubber tree</t>
  </si>
  <si>
    <t>video project</t>
  </si>
  <si>
    <t>blood</t>
  </si>
  <si>
    <t>Australian dollars</t>
  </si>
  <si>
    <t>city overhead view</t>
  </si>
  <si>
    <t>drugs</t>
  </si>
  <si>
    <t>fire alarm</t>
  </si>
  <si>
    <t>have strong financial muscles</t>
  </si>
  <si>
    <t>King's suite</t>
  </si>
  <si>
    <t>mid-range</t>
  </si>
  <si>
    <t>pie chart</t>
  </si>
  <si>
    <t>rules and regulations</t>
  </si>
  <si>
    <t>stretching movements</t>
  </si>
  <si>
    <t>video recording</t>
  </si>
  <si>
    <t>bloom</t>
  </si>
  <si>
    <t>average ability</t>
  </si>
  <si>
    <t>commuters</t>
  </si>
  <si>
    <t>double lock</t>
  </si>
  <si>
    <t>fire blanket</t>
  </si>
  <si>
    <t>help desk</t>
  </si>
  <si>
    <t>knives</t>
  </si>
  <si>
    <t>mid-semester</t>
  </si>
  <si>
    <t>pine tree</t>
  </si>
  <si>
    <t>run risks</t>
  </si>
  <si>
    <t>strict control</t>
  </si>
  <si>
    <t>video signal</t>
  </si>
  <si>
    <t>boot</t>
  </si>
  <si>
    <t>bricks</t>
  </si>
  <si>
    <t>class representative</t>
  </si>
  <si>
    <t>double room</t>
  </si>
  <si>
    <t>fire drill</t>
  </si>
  <si>
    <t>headmaster</t>
  </si>
  <si>
    <t>kitchen table</t>
  </si>
  <si>
    <t>migration patterns</t>
  </si>
  <si>
    <t>pink slip</t>
  </si>
  <si>
    <t>running facilities</t>
  </si>
  <si>
    <t>strong scent</t>
  </si>
  <si>
    <t>videotape editor</t>
  </si>
  <si>
    <t>book</t>
  </si>
  <si>
    <t>bowls</t>
  </si>
  <si>
    <t>conquerors</t>
  </si>
  <si>
    <t>double grill</t>
  </si>
  <si>
    <t>fire management</t>
  </si>
  <si>
    <t>head office</t>
  </si>
  <si>
    <t>kitchen utensils</t>
  </si>
  <si>
    <t>mileage ticket</t>
  </si>
  <si>
    <t>placement test</t>
  </si>
  <si>
    <t xml:space="preserve">running tunnell </t>
  </si>
  <si>
    <t>strong wind</t>
  </si>
  <si>
    <t>visual aids</t>
  </si>
  <si>
    <t>booking</t>
  </si>
  <si>
    <t>Bachelor's degree</t>
  </si>
  <si>
    <t>cleaning equipment</t>
  </si>
  <si>
    <t>Drama Theater</t>
  </si>
  <si>
    <t>first floor</t>
  </si>
  <si>
    <t>healthcare</t>
  </si>
  <si>
    <t xml:space="preserve">lamps </t>
  </si>
  <si>
    <t>miles</t>
  </si>
  <si>
    <t>planet science</t>
  </si>
  <si>
    <t>rural area</t>
  </si>
  <si>
    <t>student account</t>
  </si>
  <si>
    <t>VIP class</t>
  </si>
  <si>
    <t>booklet</t>
  </si>
  <si>
    <t>bad eyesight</t>
  </si>
  <si>
    <t>cleaning materials</t>
  </si>
  <si>
    <t>Drama Festival</t>
  </si>
  <si>
    <t>first name</t>
  </si>
  <si>
    <t>health check</t>
  </si>
  <si>
    <t>listening tapescript</t>
  </si>
  <si>
    <t>military museum</t>
  </si>
  <si>
    <t>Planet Society</t>
  </si>
  <si>
    <t>role of staff</t>
  </si>
  <si>
    <t>student banking</t>
  </si>
  <si>
    <t>virtual learning</t>
  </si>
  <si>
    <t>cannibal</t>
  </si>
  <si>
    <t>bad management</t>
  </si>
  <si>
    <t>clear argument</t>
  </si>
  <si>
    <t>drama teacher</t>
  </si>
  <si>
    <t>first-aid kit</t>
  </si>
  <si>
    <t>health club</t>
  </si>
  <si>
    <t>lab equipment</t>
  </si>
  <si>
    <t>mill the grain on the ground</t>
  </si>
  <si>
    <t>planning meeting</t>
  </si>
  <si>
    <t>rush hour</t>
  </si>
  <si>
    <t>student debt</t>
  </si>
  <si>
    <t>VISA</t>
  </si>
  <si>
    <t>connect</t>
  </si>
  <si>
    <t>Baked Earth</t>
  </si>
  <si>
    <t>classmates</t>
  </si>
  <si>
    <t>draw a conclusion</t>
  </si>
  <si>
    <t>first-year student</t>
  </si>
  <si>
    <t>heart attack</t>
  </si>
  <si>
    <t>lack confidence</t>
  </si>
  <si>
    <t>millions of</t>
  </si>
  <si>
    <t>planting garden</t>
  </si>
  <si>
    <t>safety check</t>
  </si>
  <si>
    <t>student hostel</t>
  </si>
  <si>
    <t>violent crimes</t>
  </si>
  <si>
    <t>bank statement</t>
  </si>
  <si>
    <t>coarse texture</t>
  </si>
  <si>
    <t>disabled access</t>
  </si>
  <si>
    <t>fish cakes</t>
  </si>
  <si>
    <t>heartbeats</t>
  </si>
  <si>
    <t>lack of confidence</t>
  </si>
  <si>
    <t>mountains</t>
  </si>
  <si>
    <t>plastic bags</t>
  </si>
  <si>
    <t>safety helmet</t>
  </si>
  <si>
    <t>student information desk</t>
  </si>
  <si>
    <t>volcanic dust</t>
  </si>
  <si>
    <t>cattle</t>
  </si>
  <si>
    <t>bank transfer</t>
  </si>
  <si>
    <t>comfortable clothes</t>
  </si>
  <si>
    <t>dropout rate</t>
  </si>
  <si>
    <t>fish tank</t>
  </si>
  <si>
    <t>heart disease</t>
  </si>
  <si>
    <t>mineral water</t>
  </si>
  <si>
    <t>plastic collection</t>
  </si>
  <si>
    <t>safety helmets</t>
  </si>
  <si>
    <t>student representative</t>
  </si>
  <si>
    <t>warm bath</t>
  </si>
  <si>
    <t>banking center</t>
  </si>
  <si>
    <t>colleagues</t>
  </si>
  <si>
    <t>dress code</t>
  </si>
  <si>
    <t>fishing boat</t>
  </si>
  <si>
    <t>heat indicator</t>
  </si>
  <si>
    <t>large slide</t>
  </si>
  <si>
    <t>minimum qualification</t>
  </si>
  <si>
    <t>plus</t>
  </si>
  <si>
    <t>sales team</t>
  </si>
  <si>
    <t>student service</t>
  </si>
  <si>
    <t xml:space="preserve">volume chart </t>
  </si>
  <si>
    <t>classification</t>
  </si>
  <si>
    <t>bar chart</t>
  </si>
  <si>
    <t>clock watch</t>
  </si>
  <si>
    <t>dress rehearsal</t>
  </si>
  <si>
    <t>fishing industry</t>
  </si>
  <si>
    <t>horse hair</t>
  </si>
  <si>
    <t>large-scale housing</t>
  </si>
  <si>
    <t>mining industry</t>
  </si>
  <si>
    <t>pocket money</t>
  </si>
  <si>
    <t>safety office</t>
  </si>
  <si>
    <t>student support service</t>
  </si>
  <si>
    <t xml:space="preserve">voting system </t>
  </si>
  <si>
    <t>classmate</t>
  </si>
  <si>
    <t>bar code</t>
  </si>
  <si>
    <t>closed shelves</t>
  </si>
  <si>
    <t>disputes</t>
  </si>
  <si>
    <t>fitness centre</t>
  </si>
  <si>
    <t>horse riding</t>
  </si>
  <si>
    <t>lecture hall</t>
  </si>
  <si>
    <t>mobile phone</t>
  </si>
  <si>
    <t>point of view</t>
  </si>
  <si>
    <t>safety regulations</t>
  </si>
  <si>
    <t>student union</t>
  </si>
  <si>
    <t>waiting list</t>
  </si>
  <si>
    <t>comment</t>
  </si>
  <si>
    <t>barbecue set</t>
  </si>
  <si>
    <t>close-book exam</t>
  </si>
  <si>
    <t>drinking machine</t>
  </si>
  <si>
    <t>fitness club</t>
  </si>
  <si>
    <t>herb tea</t>
  </si>
  <si>
    <t>laser printing</t>
  </si>
  <si>
    <t>Modern Languages</t>
  </si>
  <si>
    <t>polish cars</t>
  </si>
  <si>
    <t>Silent Island</t>
  </si>
  <si>
    <t>studio apartment</t>
  </si>
  <si>
    <t>walking boots</t>
  </si>
  <si>
    <t>commercial</t>
  </si>
  <si>
    <t>barren land</t>
  </si>
  <si>
    <t>closed reserve</t>
  </si>
  <si>
    <t>drinks and snacks</t>
  </si>
  <si>
    <t>fitness level</t>
  </si>
  <si>
    <t>herd of cattle</t>
  </si>
  <si>
    <t>last but not least</t>
  </si>
  <si>
    <t>modern management hotel</t>
  </si>
  <si>
    <t>poor area</t>
  </si>
  <si>
    <t>sandglass clock</t>
  </si>
  <si>
    <t>study aids</t>
  </si>
  <si>
    <t>walking club</t>
  </si>
  <si>
    <t>communication</t>
  </si>
  <si>
    <t>barren mine</t>
  </si>
  <si>
    <t>closed-circuit TV</t>
  </si>
  <si>
    <t>drink less coffee</t>
  </si>
  <si>
    <t>fitness training</t>
  </si>
  <si>
    <t>host family</t>
  </si>
  <si>
    <t>last name</t>
  </si>
  <si>
    <t>modern sports facilities</t>
  </si>
  <si>
    <t>pop te</t>
  </si>
  <si>
    <t>satellite TV station</t>
  </si>
  <si>
    <t>study circle</t>
  </si>
  <si>
    <t>weight training</t>
  </si>
  <si>
    <t>community</t>
  </si>
  <si>
    <t>basic course</t>
  </si>
  <si>
    <t>coffee shop</t>
  </si>
  <si>
    <t>driver's license</t>
  </si>
  <si>
    <t>fixed expenses</t>
  </si>
  <si>
    <t>high rank</t>
  </si>
  <si>
    <t>lawyers</t>
  </si>
  <si>
    <t>money diary</t>
  </si>
  <si>
    <t>population explosion</t>
  </si>
  <si>
    <t>School of Arts and Sciences</t>
  </si>
  <si>
    <t>study club</t>
  </si>
  <si>
    <t>washable shoes</t>
  </si>
  <si>
    <t>basic rule</t>
  </si>
  <si>
    <t>coffee break</t>
  </si>
  <si>
    <t>driving license</t>
  </si>
  <si>
    <t>flexible working time</t>
  </si>
  <si>
    <t>highly-trained staff</t>
  </si>
  <si>
    <t>layout of resume</t>
  </si>
  <si>
    <t>money lender</t>
  </si>
  <si>
    <t>population growth</t>
  </si>
  <si>
    <t>school uniform</t>
  </si>
  <si>
    <t>study techniques</t>
  </si>
  <si>
    <t>washing machine</t>
  </si>
  <si>
    <t>cotton</t>
  </si>
  <si>
    <t>be allergic to sth.</t>
  </si>
  <si>
    <t>coffee machine</t>
  </si>
  <si>
    <t>directors</t>
  </si>
  <si>
    <t>flight number</t>
  </si>
  <si>
    <t>higher education</t>
  </si>
  <si>
    <t>learning strategies</t>
  </si>
  <si>
    <t>money management</t>
  </si>
  <si>
    <t>population of crocodiles</t>
  </si>
  <si>
    <t>science fiction</t>
  </si>
  <si>
    <t>styles</t>
  </si>
  <si>
    <t>wedding photos</t>
  </si>
  <si>
    <t>coffee</t>
  </si>
  <si>
    <t>be out of temper</t>
  </si>
  <si>
    <t>collection tank</t>
  </si>
  <si>
    <t>drop-off site</t>
  </si>
  <si>
    <t>flowers' taste</t>
  </si>
  <si>
    <t>high-rise buildings</t>
  </si>
  <si>
    <t>learning styles</t>
  </si>
  <si>
    <t>money order</t>
  </si>
  <si>
    <t>positive effect</t>
  </si>
  <si>
    <t>science museum</t>
  </si>
  <si>
    <t>stuffed nose</t>
  </si>
  <si>
    <t>waste handling</t>
  </si>
  <si>
    <t>collections</t>
  </si>
  <si>
    <t>drop-off</t>
  </si>
  <si>
    <t>flying craft</t>
  </si>
  <si>
    <t>high-quality camera</t>
  </si>
  <si>
    <t>leisure wear</t>
  </si>
  <si>
    <t>monopoly of education</t>
  </si>
  <si>
    <t>possible causes of stress</t>
  </si>
  <si>
    <t>scientific approach</t>
  </si>
  <si>
    <t>stuffed toys</t>
  </si>
  <si>
    <t>waste disposal</t>
  </si>
  <si>
    <t>cramming</t>
  </si>
  <si>
    <t>bed linen</t>
  </si>
  <si>
    <t>college close-up</t>
  </si>
  <si>
    <t>EI Nino</t>
  </si>
  <si>
    <t>flying speed</t>
  </si>
  <si>
    <t>honeymoon suite</t>
  </si>
  <si>
    <t>leisure activities</t>
  </si>
  <si>
    <t>mosquito net</t>
  </si>
  <si>
    <t>postal survey</t>
  </si>
  <si>
    <t>scientific research</t>
  </si>
  <si>
    <t>stuff of purse</t>
  </si>
  <si>
    <t>X-ray</t>
  </si>
  <si>
    <t>running</t>
  </si>
  <si>
    <t>be prone to</t>
  </si>
  <si>
    <t>common residence</t>
  </si>
  <si>
    <t>Eagle Road</t>
  </si>
  <si>
    <t>food processing</t>
  </si>
  <si>
    <t>historical museum</t>
  </si>
  <si>
    <t>level of maturity</t>
  </si>
  <si>
    <t>mother-in-law</t>
  </si>
  <si>
    <t>power company</t>
  </si>
  <si>
    <t>scores</t>
  </si>
  <si>
    <t>subject access guide</t>
  </si>
  <si>
    <t>weaving blanket</t>
  </si>
  <si>
    <t>Wedding</t>
  </si>
  <si>
    <t>beginning course</t>
  </si>
  <si>
    <t>common room</t>
  </si>
  <si>
    <t>eastern beach</t>
  </si>
  <si>
    <t>food and oil</t>
  </si>
  <si>
    <t>history of school</t>
  </si>
  <si>
    <t>lemon tree</t>
  </si>
  <si>
    <t>movie poster</t>
  </si>
  <si>
    <t>practical material</t>
  </si>
  <si>
    <t>sea otter</t>
  </si>
  <si>
    <t>subject access</t>
  </si>
  <si>
    <t>water fee</t>
  </si>
  <si>
    <t>banned</t>
  </si>
  <si>
    <t>belts</t>
  </si>
  <si>
    <t>common sense</t>
  </si>
  <si>
    <t>eat harmful insects</t>
  </si>
  <si>
    <t>food chain</t>
  </si>
  <si>
    <t>historical maps</t>
  </si>
  <si>
    <t>letter of recommendation</t>
  </si>
  <si>
    <t>movement of muscle</t>
  </si>
  <si>
    <t>practical skills</t>
  </si>
  <si>
    <t>sea urchin</t>
  </si>
  <si>
    <t>submit the document</t>
  </si>
  <si>
    <t>water heater</t>
  </si>
  <si>
    <t>biological clock</t>
  </si>
  <si>
    <t>communication skills</t>
  </si>
  <si>
    <t>economic growth</t>
  </si>
  <si>
    <t>focus on</t>
  </si>
  <si>
    <t>horror film</t>
  </si>
  <si>
    <t>library card</t>
  </si>
  <si>
    <t>music equipment</t>
  </si>
  <si>
    <t>precautions</t>
  </si>
  <si>
    <t>sea watch</t>
  </si>
  <si>
    <t>sufficient details</t>
  </si>
  <si>
    <t>water park</t>
  </si>
  <si>
    <t>currency</t>
  </si>
  <si>
    <t>black raincoat</t>
  </si>
  <si>
    <t>communication strategies</t>
  </si>
  <si>
    <t>economic history</t>
  </si>
  <si>
    <t>football club</t>
  </si>
  <si>
    <t>hot dog</t>
  </si>
  <si>
    <t>library resource</t>
  </si>
  <si>
    <t>music instrument</t>
  </si>
  <si>
    <t>precious stone</t>
  </si>
  <si>
    <t>seafood restaurant</t>
  </si>
  <si>
    <t>supportive atmosphere</t>
  </si>
  <si>
    <t>water resources</t>
  </si>
  <si>
    <t>cooperate</t>
  </si>
  <si>
    <t>black skirt</t>
  </si>
  <si>
    <t>communication technology</t>
  </si>
  <si>
    <t>economy class</t>
  </si>
  <si>
    <t>football match</t>
  </si>
  <si>
    <t>hot meal</t>
  </si>
  <si>
    <t>life science</t>
  </si>
  <si>
    <t>notice board</t>
  </si>
  <si>
    <t>presentation skills</t>
  </si>
  <si>
    <t>seat belt</t>
  </si>
  <si>
    <t>support service</t>
  </si>
  <si>
    <t>water sking</t>
  </si>
  <si>
    <t>crossroads</t>
  </si>
  <si>
    <t>black tea</t>
  </si>
  <si>
    <t>conference reports</t>
  </si>
  <si>
    <t>education exhibition</t>
  </si>
  <si>
    <t>for sale</t>
  </si>
  <si>
    <t>hothouse effect</t>
  </si>
  <si>
    <t xml:space="preserve">life cycle </t>
  </si>
  <si>
    <t>name badge</t>
  </si>
  <si>
    <t>President's suite</t>
  </si>
  <si>
    <t>seating capacity</t>
  </si>
  <si>
    <t>sun's position</t>
  </si>
  <si>
    <t>weekly return</t>
  </si>
  <si>
    <t>dessert</t>
  </si>
  <si>
    <t>black trousers</t>
  </si>
  <si>
    <t>contact list</t>
  </si>
  <si>
    <t>education officer</t>
  </si>
  <si>
    <t>forestry industry</t>
  </si>
  <si>
    <t>life expectancy</t>
  </si>
  <si>
    <t>native animals</t>
  </si>
  <si>
    <t>previous data</t>
  </si>
  <si>
    <t>second floor</t>
  </si>
  <si>
    <t>suntan block</t>
  </si>
  <si>
    <t>welcome package</t>
  </si>
  <si>
    <t>dissertation</t>
  </si>
  <si>
    <t>black velvet</t>
  </si>
  <si>
    <t>company actions</t>
  </si>
  <si>
    <t>education standard</t>
  </si>
  <si>
    <t>formal clothes</t>
  </si>
  <si>
    <t>life insurance</t>
  </si>
  <si>
    <t>negative effect</t>
  </si>
  <si>
    <t>previous insurance company</t>
  </si>
  <si>
    <t>second-hand textbooks</t>
  </si>
  <si>
    <t>sun cream</t>
  </si>
  <si>
    <t>welcome party</t>
  </si>
  <si>
    <t>blocks</t>
  </si>
  <si>
    <t>compulsory course</t>
  </si>
  <si>
    <t>education system</t>
  </si>
  <si>
    <t>four nights</t>
  </si>
  <si>
    <t>lights</t>
  </si>
  <si>
    <t>natural medicine</t>
  </si>
  <si>
    <t>previous result</t>
  </si>
  <si>
    <t>secondary school</t>
  </si>
  <si>
    <t>summary report</t>
  </si>
  <si>
    <t>welfare department</t>
  </si>
  <si>
    <t>difference</t>
  </si>
  <si>
    <t>blood flow</t>
  </si>
  <si>
    <t>computer model</t>
  </si>
  <si>
    <t>electronic director</t>
  </si>
  <si>
    <t>link to</t>
  </si>
  <si>
    <t>natural museum</t>
  </si>
  <si>
    <t>previous studies</t>
  </si>
  <si>
    <t>second-year student</t>
  </si>
  <si>
    <t>survey conducted</t>
  </si>
  <si>
    <t>Western Europe</t>
  </si>
  <si>
    <t>dinner</t>
  </si>
  <si>
    <t>blood sample</t>
  </si>
  <si>
    <t>computer programmer</t>
  </si>
  <si>
    <t>electric fan</t>
  </si>
  <si>
    <t>fourth-year student</t>
  </si>
  <si>
    <t>literary film</t>
  </si>
  <si>
    <t>natural fibre</t>
  </si>
  <si>
    <t>price list</t>
  </si>
  <si>
    <t>sedentary lifestyle</t>
  </si>
  <si>
    <t>survey of reading</t>
  </si>
  <si>
    <t>wheelchair</t>
  </si>
  <si>
    <t>dizzy</t>
  </si>
  <si>
    <t>bloom of flowers</t>
  </si>
  <si>
    <t>computer sound card</t>
  </si>
  <si>
    <t>electricity bill</t>
  </si>
  <si>
    <t>list of headings</t>
  </si>
  <si>
    <t>new technologies</t>
  </si>
  <si>
    <t>principal</t>
  </si>
  <si>
    <t>selection method</t>
  </si>
  <si>
    <t>survival course</t>
  </si>
  <si>
    <t>white meat</t>
  </si>
  <si>
    <t>little</t>
  </si>
  <si>
    <t>blue sweater</t>
  </si>
  <si>
    <t>computer system</t>
  </si>
  <si>
    <t>electricity fee</t>
  </si>
  <si>
    <t>list of objectives</t>
  </si>
  <si>
    <t>nights</t>
  </si>
  <si>
    <t>printed card</t>
  </si>
  <si>
    <t>self-access lab</t>
  </si>
  <si>
    <t>swimming costume</t>
  </si>
  <si>
    <t>wholesale</t>
  </si>
  <si>
    <t>pizza</t>
  </si>
  <si>
    <t>boarding school</t>
  </si>
  <si>
    <t>connecting flight</t>
  </si>
  <si>
    <t>electronic dictionary</t>
  </si>
  <si>
    <t>lecture theatre</t>
  </si>
  <si>
    <t>night shift</t>
  </si>
  <si>
    <t>printed catalogue</t>
  </si>
  <si>
    <t>self-defense</t>
  </si>
  <si>
    <t>swimming in waterfall</t>
  </si>
  <si>
    <t>wide reading</t>
  </si>
  <si>
    <t>discuss</t>
  </si>
  <si>
    <t>boat trip</t>
  </si>
  <si>
    <t>concert hall</t>
  </si>
  <si>
    <t>email attachment</t>
  </si>
  <si>
    <t>no allergy</t>
  </si>
  <si>
    <t>private bathroom</t>
  </si>
  <si>
    <t>self-service restaurant</t>
  </si>
  <si>
    <t>swimming pool</t>
  </si>
  <si>
    <t>wide writing</t>
  </si>
  <si>
    <t>discussion</t>
  </si>
  <si>
    <t>book in advance</t>
  </si>
  <si>
    <t>concert room</t>
  </si>
  <si>
    <t>email account</t>
  </si>
  <si>
    <t>no charge</t>
  </si>
  <si>
    <t>private property</t>
  </si>
  <si>
    <t>senior advisor=adviser</t>
  </si>
  <si>
    <t>swimming suit</t>
  </si>
  <si>
    <t>widen one's horizon</t>
  </si>
  <si>
    <t>speech</t>
  </si>
  <si>
    <t>book reservation</t>
  </si>
  <si>
    <t>classical music</t>
  </si>
  <si>
    <t>email address</t>
  </si>
  <si>
    <t>no nuts</t>
  </si>
  <si>
    <t>private school</t>
  </si>
  <si>
    <t>senior manager</t>
  </si>
  <si>
    <t>TA</t>
  </si>
  <si>
    <t>widen one's view</t>
  </si>
  <si>
    <t>suggestion</t>
  </si>
  <si>
    <t>bones</t>
  </si>
  <si>
    <t>emergency contact person</t>
  </si>
  <si>
    <t>non-medicine items</t>
  </si>
  <si>
    <t>private trip</t>
  </si>
  <si>
    <t>senior staff</t>
  </si>
  <si>
    <t>tablets</t>
  </si>
  <si>
    <t>wind power</t>
  </si>
  <si>
    <t>door</t>
  </si>
  <si>
    <t>bowling alley</t>
  </si>
  <si>
    <t>emergency telephone number</t>
  </si>
  <si>
    <t>non-stop flight</t>
  </si>
  <si>
    <t>prize giving</t>
  </si>
  <si>
    <t>sense of achievement</t>
  </si>
  <si>
    <t>take notes</t>
  </si>
  <si>
    <t>wind tunnels</t>
  </si>
  <si>
    <t>dollar</t>
  </si>
  <si>
    <t>botanical garden</t>
  </si>
  <si>
    <t>dial</t>
  </si>
  <si>
    <t>not check identities</t>
  </si>
  <si>
    <t>professional learning</t>
  </si>
  <si>
    <t>sense of success</t>
  </si>
  <si>
    <t>take blood pressure</t>
  </si>
  <si>
    <t>window dressing</t>
  </si>
  <si>
    <t>floor</t>
  </si>
  <si>
    <t>not for circulation</t>
  </si>
  <si>
    <t>project work</t>
  </si>
  <si>
    <t>sensible exercise</t>
  </si>
  <si>
    <t>take one's temperature</t>
  </si>
  <si>
    <t>wing design</t>
  </si>
  <si>
    <t>poor</t>
  </si>
  <si>
    <t>number of exposure</t>
  </si>
  <si>
    <t>project background</t>
  </si>
  <si>
    <t>sentences</t>
  </si>
  <si>
    <t>take regular exercise</t>
  </si>
  <si>
    <t>withdraw cash</t>
  </si>
  <si>
    <t>number of occupants</t>
  </si>
  <si>
    <t>project outline</t>
  </si>
  <si>
    <t>service manager</t>
  </si>
  <si>
    <t>take risks</t>
  </si>
  <si>
    <t>woman author</t>
  </si>
  <si>
    <t>nursing care</t>
  </si>
  <si>
    <t>profits</t>
  </si>
  <si>
    <t>set money aside</t>
  </si>
  <si>
    <t>taxi stand</t>
  </si>
  <si>
    <t>wood should be cut and seasoned</t>
  </si>
  <si>
    <t>exaggerate</t>
  </si>
  <si>
    <t>Nursing Diploma</t>
  </si>
  <si>
    <t>psychological patients</t>
  </si>
  <si>
    <t>shared bathroom</t>
  </si>
  <si>
    <t>technical vocabulary</t>
  </si>
  <si>
    <t>work objective</t>
  </si>
  <si>
    <t>essay</t>
  </si>
  <si>
    <t>occupational factors</t>
  </si>
  <si>
    <t>psychological course</t>
  </si>
  <si>
    <t>shared social area</t>
  </si>
  <si>
    <t>technical institution</t>
  </si>
  <si>
    <t>work place</t>
  </si>
  <si>
    <t>embassy</t>
  </si>
  <si>
    <t>public transport</t>
  </si>
  <si>
    <t>shear the sheep</t>
  </si>
  <si>
    <t>teaching club</t>
  </si>
  <si>
    <t>work systematically</t>
  </si>
  <si>
    <t>issue</t>
  </si>
  <si>
    <t>nursery school</t>
  </si>
  <si>
    <t>public awareness</t>
  </si>
  <si>
    <t>sheep and cattle</t>
  </si>
  <si>
    <t>teaching hours</t>
  </si>
  <si>
    <t>World Expo</t>
  </si>
  <si>
    <t>curriculum</t>
  </si>
  <si>
    <t>obligatory course</t>
  </si>
  <si>
    <t>public examination</t>
  </si>
  <si>
    <t>sheep shearing</t>
  </si>
  <si>
    <t>teaching method</t>
  </si>
  <si>
    <t>wretched boat</t>
  </si>
  <si>
    <t>express</t>
  </si>
  <si>
    <t>public facilities</t>
  </si>
  <si>
    <t>shift work</t>
  </si>
  <si>
    <t>teaching staff</t>
  </si>
  <si>
    <t>wild animals</t>
  </si>
  <si>
    <t>congress</t>
  </si>
  <si>
    <t>off campus</t>
  </si>
  <si>
    <t>public health</t>
  </si>
  <si>
    <t>shop assistant</t>
  </si>
  <si>
    <t>teaching syllabus</t>
  </si>
  <si>
    <t>youth hostel</t>
  </si>
  <si>
    <t>pressed</t>
  </si>
  <si>
    <t>office assistant</t>
  </si>
  <si>
    <t>public interest</t>
  </si>
  <si>
    <t>shop manager</t>
  </si>
  <si>
    <t>teachers and faculty</t>
  </si>
  <si>
    <t>your own embassy</t>
  </si>
  <si>
    <t>pressure</t>
  </si>
  <si>
    <t>overfill</t>
  </si>
  <si>
    <t>public school</t>
  </si>
  <si>
    <t>shopping centre</t>
  </si>
  <si>
    <t>tape recorder</t>
  </si>
  <si>
    <t>yellow fever</t>
  </si>
  <si>
    <t>fee</t>
  </si>
  <si>
    <t>oil explosion</t>
  </si>
  <si>
    <t>public service</t>
  </si>
  <si>
    <t>shopping list</t>
  </si>
  <si>
    <t>telephone survey</t>
  </si>
  <si>
    <t>olive oil</t>
  </si>
  <si>
    <t>public skills</t>
  </si>
  <si>
    <t>shopping mall</t>
  </si>
  <si>
    <t>television drama</t>
  </si>
  <si>
    <t>ferry</t>
  </si>
  <si>
    <t>OHPEN</t>
  </si>
  <si>
    <t>quality of teaching</t>
  </si>
  <si>
    <t>shortage of money</t>
  </si>
  <si>
    <t>temple wall</t>
  </si>
  <si>
    <t>fossil</t>
  </si>
  <si>
    <t>quality of education</t>
  </si>
  <si>
    <t>sick note</t>
  </si>
  <si>
    <t>temples</t>
  </si>
  <si>
    <t>food</t>
  </si>
  <si>
    <t>quality of personnel</t>
  </si>
  <si>
    <t>side effects</t>
  </si>
  <si>
    <t>tennis club</t>
  </si>
  <si>
    <t>foot</t>
  </si>
  <si>
    <t>quarry tiles</t>
  </si>
  <si>
    <t>safari Z00</t>
  </si>
  <si>
    <t>terraced house</t>
  </si>
  <si>
    <t>football</t>
  </si>
  <si>
    <t>property insurance</t>
  </si>
  <si>
    <t>safari park</t>
  </si>
  <si>
    <t>terrestrial heat</t>
  </si>
  <si>
    <t>footprint</t>
  </si>
  <si>
    <t>question handling</t>
  </si>
  <si>
    <t>similar experiments</t>
  </si>
  <si>
    <t>tertiary education</t>
  </si>
  <si>
    <t>goods</t>
  </si>
  <si>
    <t>Queen's suite</t>
  </si>
  <si>
    <t>single item</t>
  </si>
  <si>
    <t>text structure</t>
  </si>
  <si>
    <t>gallon</t>
  </si>
  <si>
    <t>queen-sized bed</t>
  </si>
  <si>
    <t>size of population</t>
  </si>
  <si>
    <t>textbook allowance</t>
  </si>
  <si>
    <t>grammar</t>
  </si>
  <si>
    <t>Queen's Park</t>
  </si>
  <si>
    <t>size of sample</t>
  </si>
  <si>
    <t>the marketing department</t>
  </si>
  <si>
    <t>handbook</t>
  </si>
  <si>
    <t>RA (research assistant)</t>
  </si>
  <si>
    <t>silver cloth</t>
  </si>
  <si>
    <t>the disabled</t>
  </si>
  <si>
    <t>textbook</t>
  </si>
  <si>
    <t>railway rail</t>
  </si>
  <si>
    <t>the old</t>
  </si>
  <si>
    <t>notebook</t>
  </si>
  <si>
    <t>railway station</t>
  </si>
  <si>
    <t>the poor</t>
  </si>
  <si>
    <t>newsletters</t>
  </si>
  <si>
    <t>railway tracks</t>
  </si>
  <si>
    <t>the Milkly Way</t>
  </si>
  <si>
    <t>hippo</t>
  </si>
  <si>
    <t>railway worker</t>
  </si>
  <si>
    <t>hoover</t>
  </si>
  <si>
    <t>random selection</t>
  </si>
  <si>
    <t>horror</t>
  </si>
  <si>
    <t>hall</t>
  </si>
  <si>
    <t>irritation</t>
  </si>
  <si>
    <t>incorrect</t>
  </si>
  <si>
    <t>innovation</t>
  </si>
  <si>
    <t>interviewee</t>
  </si>
  <si>
    <t>lessen</t>
  </si>
  <si>
    <t>degree</t>
  </si>
  <si>
    <t>likelihood</t>
  </si>
  <si>
    <t>firewood</t>
  </si>
  <si>
    <t>matter</t>
  </si>
  <si>
    <t>mammal</t>
  </si>
  <si>
    <t>mass</t>
  </si>
  <si>
    <t>massage</t>
  </si>
  <si>
    <t>midday</t>
  </si>
  <si>
    <t>million</t>
  </si>
  <si>
    <t>narrator</t>
  </si>
  <si>
    <t>lookout</t>
  </si>
  <si>
    <t>occupation</t>
  </si>
  <si>
    <t>offer</t>
  </si>
  <si>
    <t>office</t>
  </si>
  <si>
    <t>officer</t>
  </si>
  <si>
    <t>passage</t>
  </si>
  <si>
    <t>passport</t>
  </si>
  <si>
    <t>password</t>
  </si>
  <si>
    <t>pattern</t>
  </si>
  <si>
    <t>paddle</t>
  </si>
  <si>
    <t>penny</t>
  </si>
  <si>
    <t>personnel</t>
  </si>
  <si>
    <t>pottery</t>
  </si>
  <si>
    <t>process</t>
  </si>
  <si>
    <t>processing</t>
  </si>
  <si>
    <t>profession</t>
  </si>
  <si>
    <t>professor</t>
  </si>
  <si>
    <t>questionnaire</t>
  </si>
  <si>
    <t>possibility</t>
  </si>
  <si>
    <t>opportunities</t>
  </si>
  <si>
    <t>robber</t>
  </si>
  <si>
    <t>otter</t>
  </si>
  <si>
    <t>rubbish</t>
  </si>
  <si>
    <t>Russia</t>
  </si>
  <si>
    <t>school</t>
  </si>
  <si>
    <t>kangaroo</t>
  </si>
  <si>
    <t>Scottish</t>
  </si>
  <si>
    <t>screen</t>
  </si>
  <si>
    <t>seafood</t>
  </si>
  <si>
    <t>settlement</t>
  </si>
  <si>
    <t>shuttle</t>
  </si>
  <si>
    <t>shopping</t>
  </si>
  <si>
    <t>swimming</t>
  </si>
  <si>
    <t>skiing</t>
  </si>
  <si>
    <t>setting</t>
  </si>
  <si>
    <t>steel</t>
  </si>
  <si>
    <t>steering</t>
  </si>
  <si>
    <t>stress</t>
  </si>
  <si>
    <t>stiff</t>
  </si>
  <si>
    <t>staff</t>
  </si>
  <si>
    <t>stuff</t>
  </si>
  <si>
    <t>cliff</t>
  </si>
  <si>
    <t>success</t>
  </si>
  <si>
    <t>session</t>
  </si>
  <si>
    <t>concession</t>
  </si>
  <si>
    <t>summary</t>
  </si>
  <si>
    <t>summer</t>
  </si>
  <si>
    <t>summit</t>
  </si>
  <si>
    <t>supplementary</t>
  </si>
  <si>
    <t>supply</t>
  </si>
  <si>
    <t>support</t>
  </si>
  <si>
    <t>supportive</t>
  </si>
  <si>
    <t>tennis</t>
  </si>
  <si>
    <t>tunnel</t>
  </si>
  <si>
    <t>toothache</t>
  </si>
  <si>
    <t>traffic</t>
  </si>
  <si>
    <t>terraced</t>
  </si>
  <si>
    <t>terrestrial</t>
  </si>
  <si>
    <t>vaccine</t>
  </si>
  <si>
    <t>vacuum</t>
  </si>
  <si>
    <t>waitress</t>
  </si>
  <si>
    <t>willow</t>
  </si>
  <si>
    <t>weed</t>
  </si>
  <si>
    <t>wood</t>
  </si>
  <si>
    <t>woods</t>
  </si>
  <si>
    <t>zoo</t>
  </si>
  <si>
    <t xml:space="preserve">               11-1横向测试</t>
  </si>
  <si>
    <t xml:space="preserve">               11-2横向测试</t>
  </si>
  <si>
    <t xml:space="preserve">               11-3横向测试</t>
  </si>
  <si>
    <t xml:space="preserve">               11-4横向测试</t>
  </si>
  <si>
    <t>11-1横向测试答案</t>
  </si>
  <si>
    <t>11-2横向测试答案</t>
  </si>
  <si>
    <t>11-3横向测试答案</t>
  </si>
  <si>
    <t>11-4横向测试答案</t>
  </si>
  <si>
    <t>navigation</t>
  </si>
  <si>
    <t>canoe</t>
  </si>
  <si>
    <t>rangers</t>
  </si>
  <si>
    <t>labels</t>
  </si>
  <si>
    <t>voluntary</t>
  </si>
  <si>
    <t>coconut</t>
  </si>
  <si>
    <t>luxury</t>
  </si>
  <si>
    <t>darkroom</t>
  </si>
  <si>
    <t>mould</t>
  </si>
  <si>
    <t>lock-up</t>
  </si>
  <si>
    <t>reflective</t>
  </si>
  <si>
    <t>machinery</t>
  </si>
  <si>
    <t>vegetarian</t>
  </si>
  <si>
    <t>warehouse</t>
  </si>
  <si>
    <t>portfolio</t>
  </si>
  <si>
    <t>elastic</t>
  </si>
  <si>
    <t>campsite</t>
  </si>
  <si>
    <t>fireplaces</t>
  </si>
  <si>
    <t>vertical</t>
  </si>
  <si>
    <t>helicopter</t>
  </si>
  <si>
    <t>donations</t>
  </si>
  <si>
    <t>verbalisation</t>
  </si>
  <si>
    <t>decisions</t>
  </si>
  <si>
    <t>moonlight</t>
  </si>
  <si>
    <t>nest</t>
  </si>
  <si>
    <t>flamingo</t>
  </si>
  <si>
    <t>evaporation</t>
  </si>
  <si>
    <t>herds</t>
  </si>
  <si>
    <t>trails</t>
  </si>
  <si>
    <t>hive</t>
  </si>
  <si>
    <t>clay</t>
  </si>
  <si>
    <t>double-grill</t>
  </si>
  <si>
    <t>poster</t>
  </si>
  <si>
    <t>eco-cement</t>
  </si>
  <si>
    <t>networkers</t>
  </si>
  <si>
    <t>nuts</t>
  </si>
  <si>
    <t>website</t>
  </si>
  <si>
    <t>vegetation</t>
  </si>
  <si>
    <t>ecosystem</t>
  </si>
  <si>
    <t>arrows</t>
  </si>
  <si>
    <t>calligraphy</t>
  </si>
  <si>
    <t>flexibility</t>
  </si>
  <si>
    <t>spears</t>
  </si>
  <si>
    <t>caravan</t>
  </si>
  <si>
    <t>concentrated</t>
  </si>
  <si>
    <t>bils</t>
  </si>
  <si>
    <t>layout</t>
  </si>
  <si>
    <t>literature</t>
  </si>
  <si>
    <t>shipping</t>
  </si>
  <si>
    <t>format</t>
  </si>
  <si>
    <t>regulator</t>
  </si>
  <si>
    <t>segments</t>
  </si>
  <si>
    <t>hammer</t>
  </si>
  <si>
    <t>germs</t>
  </si>
  <si>
    <t>incubator</t>
  </si>
  <si>
    <t>corn</t>
  </si>
  <si>
    <t>hard-working</t>
  </si>
  <si>
    <t>insects</t>
  </si>
  <si>
    <t>postage</t>
  </si>
  <si>
    <t>torch</t>
  </si>
  <si>
    <t>coastline</t>
  </si>
  <si>
    <t>sack</t>
  </si>
  <si>
    <t>liberty</t>
  </si>
  <si>
    <t>souvenirs</t>
  </si>
  <si>
    <t>cognition</t>
  </si>
  <si>
    <t>funnel</t>
  </si>
  <si>
    <t>automatic</t>
  </si>
  <si>
    <t>rendezvous</t>
  </si>
  <si>
    <t>craftwork</t>
  </si>
  <si>
    <t>intelligence</t>
  </si>
  <si>
    <t>painkillers</t>
  </si>
  <si>
    <t>vetting</t>
  </si>
  <si>
    <t>internship</t>
  </si>
  <si>
    <t>connected</t>
  </si>
  <si>
    <t>acknowledgement</t>
  </si>
  <si>
    <t>workload</t>
  </si>
  <si>
    <t>self-centred</t>
  </si>
  <si>
    <t>keyboard</t>
  </si>
  <si>
    <t>wildlife</t>
  </si>
  <si>
    <t>appendices</t>
  </si>
  <si>
    <t>passive</t>
  </si>
  <si>
    <t>transit</t>
  </si>
  <si>
    <t>hostel</t>
  </si>
  <si>
    <t>parliament</t>
  </si>
  <si>
    <t>stimulation</t>
  </si>
  <si>
    <t>enjoyable</t>
  </si>
  <si>
    <t>water-ride</t>
  </si>
  <si>
    <t>recreational</t>
  </si>
  <si>
    <t>lid</t>
  </si>
  <si>
    <t>snowboarding</t>
  </si>
  <si>
    <t>waterproof</t>
  </si>
  <si>
    <t>windmill</t>
  </si>
  <si>
    <t>gravity</t>
  </si>
  <si>
    <t>rollercoaster</t>
  </si>
  <si>
    <t>mating</t>
  </si>
  <si>
    <t>stems</t>
  </si>
  <si>
    <t>helmet</t>
  </si>
  <si>
    <t>resort</t>
  </si>
  <si>
    <t>fabric</t>
  </si>
  <si>
    <t>obstacles</t>
  </si>
  <si>
    <t>mask</t>
  </si>
  <si>
    <t>anniversary</t>
  </si>
  <si>
    <t>cardiovascular</t>
  </si>
  <si>
    <t>mechanism</t>
  </si>
  <si>
    <t>committee</t>
  </si>
  <si>
    <t>feasibility</t>
  </si>
  <si>
    <t>ladder</t>
  </si>
  <si>
    <t>off-peak</t>
  </si>
  <si>
    <t>evaluation</t>
  </si>
  <si>
    <t>drought</t>
  </si>
  <si>
    <t>concentration</t>
  </si>
  <si>
    <t>collaborative</t>
  </si>
  <si>
    <t>erosion</t>
  </si>
  <si>
    <t>categories</t>
  </si>
  <si>
    <t>all-in</t>
  </si>
  <si>
    <t>digestion</t>
  </si>
  <si>
    <t>variable</t>
  </si>
  <si>
    <t>hovercraft</t>
  </si>
  <si>
    <t>coverage-lettering</t>
  </si>
  <si>
    <t>sauna</t>
  </si>
  <si>
    <t>roadworthy</t>
  </si>
  <si>
    <t>retail</t>
  </si>
  <si>
    <t>child-minding</t>
  </si>
  <si>
    <t>originality</t>
  </si>
  <si>
    <t>racket</t>
  </si>
  <si>
    <t>archaeology</t>
  </si>
  <si>
    <t>postal</t>
  </si>
  <si>
    <t>self-evaluation</t>
  </si>
  <si>
    <t>handles</t>
  </si>
  <si>
    <t>coursework</t>
  </si>
  <si>
    <t>pesticide</t>
  </si>
  <si>
    <t>ny|on</t>
  </si>
  <si>
    <t>cranberry</t>
  </si>
  <si>
    <t>fuels</t>
  </si>
  <si>
    <t>cost-effective</t>
  </si>
  <si>
    <t>hazel</t>
  </si>
  <si>
    <t>navigate</t>
  </si>
  <si>
    <t>receipt</t>
  </si>
  <si>
    <t>respondents</t>
  </si>
  <si>
    <t>waterfall</t>
  </si>
  <si>
    <t>dustbin</t>
  </si>
  <si>
    <t>density</t>
  </si>
  <si>
    <t>partner</t>
  </si>
  <si>
    <t>triangle</t>
  </si>
  <si>
    <t>voucher</t>
  </si>
  <si>
    <t>dirt</t>
  </si>
  <si>
    <t>reliance</t>
  </si>
  <si>
    <t>fertilisers</t>
  </si>
  <si>
    <t>ink</t>
  </si>
  <si>
    <t>comprehension</t>
  </si>
  <si>
    <t>fernery</t>
  </si>
  <si>
    <t>tourists</t>
  </si>
  <si>
    <t>corrections</t>
  </si>
  <si>
    <t>soldiers</t>
  </si>
  <si>
    <t>occupants</t>
  </si>
  <si>
    <t>concrete</t>
  </si>
  <si>
    <t>miniature</t>
  </si>
  <si>
    <t>lifespan</t>
  </si>
  <si>
    <t>biscuit</t>
  </si>
  <si>
    <t>enlargement</t>
  </si>
  <si>
    <t>meadow</t>
  </si>
  <si>
    <t>limitations</t>
  </si>
  <si>
    <t>temperature</t>
  </si>
  <si>
    <t>studio</t>
  </si>
  <si>
    <t>digestive</t>
  </si>
  <si>
    <t>connectives</t>
  </si>
  <si>
    <t>fluids</t>
  </si>
  <si>
    <t>critic</t>
  </si>
  <si>
    <t>fertilizer=fertiliser</t>
  </si>
  <si>
    <t>journalists</t>
  </si>
  <si>
    <t>kidney</t>
  </si>
  <si>
    <t>zoom</t>
  </si>
  <si>
    <t>rabbit</t>
  </si>
  <si>
    <t>sustainable</t>
  </si>
  <si>
    <t>lens</t>
  </si>
  <si>
    <t>trash</t>
  </si>
  <si>
    <t>informality</t>
  </si>
  <si>
    <t>portable</t>
  </si>
  <si>
    <t>infrastructure</t>
  </si>
  <si>
    <t>aging</t>
  </si>
  <si>
    <t>ideal</t>
  </si>
  <si>
    <t>hothouse</t>
  </si>
  <si>
    <t>ascent</t>
  </si>
  <si>
    <t>breathe</t>
  </si>
  <si>
    <t>habitat</t>
  </si>
  <si>
    <t>pollutants</t>
  </si>
  <si>
    <t>fountair</t>
  </si>
  <si>
    <t>procedure</t>
  </si>
  <si>
    <t>guidelines</t>
  </si>
  <si>
    <t>vest</t>
  </si>
  <si>
    <t>budget</t>
  </si>
  <si>
    <t>mapping</t>
  </si>
  <si>
    <t>qualification</t>
  </si>
  <si>
    <t>proposal</t>
  </si>
  <si>
    <t>stormy</t>
  </si>
  <si>
    <t>calculator</t>
  </si>
  <si>
    <t>poverty</t>
  </si>
  <si>
    <t>pavement</t>
  </si>
  <si>
    <t>proportion</t>
  </si>
  <si>
    <t>perfumes</t>
  </si>
  <si>
    <t>expectation</t>
  </si>
  <si>
    <t>restriction</t>
  </si>
  <si>
    <t>dimension</t>
  </si>
  <si>
    <t>exploration</t>
  </si>
  <si>
    <t>glue</t>
  </si>
  <si>
    <t>cookery</t>
  </si>
  <si>
    <t>upheaval</t>
  </si>
  <si>
    <t>font</t>
  </si>
  <si>
    <t>calorie</t>
  </si>
  <si>
    <t>adaptable</t>
  </si>
  <si>
    <t>pirates</t>
  </si>
  <si>
    <t>noticeable</t>
  </si>
  <si>
    <t>evolutionary</t>
  </si>
  <si>
    <t>powder</t>
  </si>
  <si>
    <t>visibility</t>
  </si>
  <si>
    <t>cognitive</t>
  </si>
  <si>
    <t>cosmetics</t>
  </si>
  <si>
    <t>violin</t>
  </si>
  <si>
    <t>commitment</t>
  </si>
  <si>
    <t>carpets</t>
  </si>
  <si>
    <t>manufacturing</t>
  </si>
  <si>
    <t>fume</t>
  </si>
  <si>
    <t>anatomy</t>
  </si>
  <si>
    <t>outfit</t>
  </si>
  <si>
    <t>modify</t>
  </si>
  <si>
    <t>counterpart</t>
  </si>
  <si>
    <t>packaging</t>
  </si>
  <si>
    <t>sensitive</t>
  </si>
  <si>
    <t>worms</t>
  </si>
  <si>
    <t>myth</t>
  </si>
  <si>
    <t>reptile</t>
  </si>
  <si>
    <t>adaptation</t>
  </si>
  <si>
    <t>odor</t>
  </si>
  <si>
    <t>harvested</t>
  </si>
  <si>
    <t>territory</t>
  </si>
  <si>
    <t>implication</t>
  </si>
  <si>
    <t>butterflies</t>
  </si>
  <si>
    <t>opened</t>
  </si>
  <si>
    <t>monogamous</t>
  </si>
  <si>
    <t>novice</t>
  </si>
  <si>
    <t>cleaned</t>
  </si>
  <si>
    <t>avoidance</t>
  </si>
  <si>
    <t>expanded</t>
  </si>
  <si>
    <t>aspiration</t>
  </si>
  <si>
    <t>cooled</t>
  </si>
  <si>
    <t>aerobic</t>
  </si>
  <si>
    <t>dismissive</t>
  </si>
  <si>
    <t>sealed</t>
  </si>
  <si>
    <t>expedition</t>
  </si>
  <si>
    <t>adaptability</t>
  </si>
  <si>
    <t>situational</t>
  </si>
  <si>
    <t>segment</t>
  </si>
  <si>
    <t>maths=math</t>
  </si>
  <si>
    <t>pigeon</t>
  </si>
  <si>
    <t>aspirations</t>
  </si>
  <si>
    <t>disability</t>
  </si>
  <si>
    <t>Phonebook</t>
  </si>
  <si>
    <t>specimen</t>
  </si>
  <si>
    <t>amber</t>
  </si>
  <si>
    <t>spine</t>
  </si>
  <si>
    <t>nitrogen</t>
  </si>
  <si>
    <t>inclusion</t>
  </si>
  <si>
    <t>tolerance</t>
  </si>
  <si>
    <t>pes</t>
  </si>
  <si>
    <t>hibernation</t>
  </si>
  <si>
    <t>contribution</t>
  </si>
  <si>
    <t>rack</t>
  </si>
  <si>
    <t>hormone</t>
  </si>
  <si>
    <t>humidity</t>
  </si>
  <si>
    <t>laundry</t>
  </si>
  <si>
    <t>occupancy</t>
  </si>
  <si>
    <t>squirrel</t>
  </si>
  <si>
    <t>eggplant</t>
  </si>
  <si>
    <t>satisfaction</t>
  </si>
  <si>
    <t>tuna</t>
  </si>
  <si>
    <t>rape</t>
  </si>
  <si>
    <t>shellfish</t>
  </si>
  <si>
    <t>chronological</t>
  </si>
  <si>
    <t>gill</t>
  </si>
  <si>
    <t>pegs</t>
  </si>
  <si>
    <t>bakery</t>
  </si>
  <si>
    <t>distracting</t>
  </si>
  <si>
    <t>cables</t>
  </si>
  <si>
    <t>scaffold</t>
  </si>
  <si>
    <t>advisor=adviser</t>
  </si>
  <si>
    <t>semantic</t>
  </si>
  <si>
    <t>oyster</t>
  </si>
  <si>
    <t>vehicle</t>
  </si>
  <si>
    <t>episodic</t>
  </si>
  <si>
    <t>guessing</t>
  </si>
  <si>
    <t>portrait</t>
  </si>
  <si>
    <t>lorry</t>
  </si>
  <si>
    <t>symbolism</t>
  </si>
  <si>
    <t>inconvenience</t>
  </si>
  <si>
    <t>mud</t>
  </si>
  <si>
    <t>module</t>
  </si>
  <si>
    <t>diploma</t>
  </si>
  <si>
    <t>literacy</t>
  </si>
  <si>
    <t>newsagent's</t>
  </si>
  <si>
    <t>measurements</t>
  </si>
  <si>
    <t>predators</t>
  </si>
  <si>
    <t>group discussion marks</t>
  </si>
  <si>
    <t>molt</t>
  </si>
  <si>
    <t>liquids</t>
  </si>
  <si>
    <t>middle term test</t>
  </si>
  <si>
    <t>diversity</t>
  </si>
  <si>
    <t>cement</t>
  </si>
  <si>
    <t>storage</t>
  </si>
  <si>
    <t>photo statistics</t>
  </si>
  <si>
    <t>Sweden</t>
  </si>
  <si>
    <t>extra time</t>
  </si>
  <si>
    <t>peers</t>
  </si>
  <si>
    <t xml:space="preserve">communication system </t>
  </si>
  <si>
    <t>rational</t>
  </si>
  <si>
    <t>grocery</t>
  </si>
  <si>
    <t>solar pump</t>
  </si>
  <si>
    <t xml:space="preserve">personal interest </t>
  </si>
  <si>
    <t>willing</t>
  </si>
  <si>
    <t>socialise</t>
  </si>
  <si>
    <t>urban garden</t>
  </si>
  <si>
    <t xml:space="preserve">secretary of department </t>
  </si>
  <si>
    <t>instinct</t>
  </si>
  <si>
    <t>visitor centre</t>
  </si>
  <si>
    <t xml:space="preserve">computer office </t>
  </si>
  <si>
    <t>reward</t>
  </si>
  <si>
    <t>congratulations</t>
  </si>
  <si>
    <t>special feature</t>
  </si>
  <si>
    <t xml:space="preserve">past course materials </t>
  </si>
  <si>
    <t>boiler</t>
  </si>
  <si>
    <t>unaccompanied children</t>
  </si>
  <si>
    <t xml:space="preserve">international reputation </t>
  </si>
  <si>
    <t>monument</t>
  </si>
  <si>
    <t>under-age children</t>
  </si>
  <si>
    <t xml:space="preserve">history research </t>
  </si>
  <si>
    <t>drawback</t>
  </si>
  <si>
    <t>mirror</t>
  </si>
  <si>
    <t>racing car</t>
  </si>
  <si>
    <t xml:space="preserve">conference report </t>
  </si>
  <si>
    <t>obligation</t>
  </si>
  <si>
    <t xml:space="preserve">ground plan </t>
  </si>
  <si>
    <t>responsibility</t>
  </si>
  <si>
    <t>birdwatching</t>
  </si>
  <si>
    <t>booking form</t>
  </si>
  <si>
    <t xml:space="preserve">chat rooms </t>
  </si>
  <si>
    <t>rags</t>
  </si>
  <si>
    <t xml:space="preserve">computer skills </t>
  </si>
  <si>
    <t>rainbow</t>
  </si>
  <si>
    <t>room services</t>
  </si>
  <si>
    <t xml:space="preserve">teaching staff </t>
  </si>
  <si>
    <t>after formality</t>
  </si>
  <si>
    <t xml:space="preserve">global listening </t>
  </si>
  <si>
    <t>lizard</t>
  </si>
  <si>
    <t>internet cafe</t>
  </si>
  <si>
    <t>music video</t>
  </si>
  <si>
    <t xml:space="preserve">eye contacts </t>
  </si>
  <si>
    <t>type of insurance</t>
  </si>
  <si>
    <t>camera man</t>
  </si>
  <si>
    <t xml:space="preserve">card catalog (catalogue) </t>
  </si>
  <si>
    <t>traffic noise</t>
  </si>
  <si>
    <t xml:space="preserve">lack of soil </t>
  </si>
  <si>
    <t>shrimps</t>
  </si>
  <si>
    <t>snow boarding</t>
  </si>
  <si>
    <t>sculpture garden</t>
  </si>
  <si>
    <t>food pest</t>
  </si>
  <si>
    <t>moisture</t>
  </si>
  <si>
    <t>membership limitatior</t>
  </si>
  <si>
    <t>oil painting</t>
  </si>
  <si>
    <t xml:space="preserve">environmental damage </t>
  </si>
  <si>
    <t>ultraviolet</t>
  </si>
  <si>
    <t>quarantine service</t>
  </si>
  <si>
    <t xml:space="preserve">food chain </t>
  </si>
  <si>
    <t>bubble</t>
  </si>
  <si>
    <t>drama workshop</t>
  </si>
  <si>
    <t>postal items</t>
  </si>
  <si>
    <t xml:space="preserve">fill in worksheet </t>
  </si>
  <si>
    <t>passion</t>
  </si>
  <si>
    <t>outdoor activities</t>
  </si>
  <si>
    <t>plant seeds</t>
  </si>
  <si>
    <t xml:space="preserve">model guide </t>
  </si>
  <si>
    <t>responsible</t>
  </si>
  <si>
    <t>group deposit</t>
  </si>
  <si>
    <t>live music</t>
  </si>
  <si>
    <t xml:space="preserve">video camera </t>
  </si>
  <si>
    <t>landmarks</t>
  </si>
  <si>
    <t>joining fee (s)</t>
  </si>
  <si>
    <t>meeting point</t>
  </si>
  <si>
    <t xml:space="preserve">measuring equipment </t>
  </si>
  <si>
    <t>dance classes</t>
  </si>
  <si>
    <t>craft fair</t>
  </si>
  <si>
    <t xml:space="preserve">natural ability </t>
  </si>
  <si>
    <t>psychology</t>
  </si>
  <si>
    <t>leisure centre</t>
  </si>
  <si>
    <t>fringe stage</t>
  </si>
  <si>
    <t xml:space="preserve">good effort </t>
  </si>
  <si>
    <t>varied</t>
  </si>
  <si>
    <t>round tables</t>
  </si>
  <si>
    <t>exhibitor entrance</t>
  </si>
  <si>
    <t xml:space="preserve">leadership skill </t>
  </si>
  <si>
    <t>planet</t>
  </si>
  <si>
    <t>bunch of flowers</t>
  </si>
  <si>
    <t xml:space="preserve">accessible discussion </t>
  </si>
  <si>
    <t>ethnics</t>
  </si>
  <si>
    <t>total deposit</t>
  </si>
  <si>
    <t>academic record</t>
  </si>
  <si>
    <t xml:space="preserve">braking system </t>
  </si>
  <si>
    <t>nomad</t>
  </si>
  <si>
    <t>delivery fee</t>
  </si>
  <si>
    <t xml:space="preserve">environmental issues </t>
  </si>
  <si>
    <t>special items</t>
  </si>
  <si>
    <t>local artists</t>
  </si>
  <si>
    <t xml:space="preserve">management of change </t>
  </si>
  <si>
    <t>high seasons</t>
  </si>
  <si>
    <t>river taxi</t>
  </si>
  <si>
    <t xml:space="preserve">financial aids </t>
  </si>
  <si>
    <t>slaves</t>
  </si>
  <si>
    <t>country living</t>
  </si>
  <si>
    <t xml:space="preserve">working style </t>
  </si>
  <si>
    <t>peaceful environment</t>
  </si>
  <si>
    <t xml:space="preserve">late submission </t>
  </si>
  <si>
    <t>lighting</t>
  </si>
  <si>
    <t>eating out</t>
  </si>
  <si>
    <t>calling fee</t>
  </si>
  <si>
    <t xml:space="preserve">lack of research </t>
  </si>
  <si>
    <t>existing skills</t>
  </si>
  <si>
    <t xml:space="preserve">computer breakdown </t>
  </si>
  <si>
    <t xml:space="preserve">farming method </t>
  </si>
  <si>
    <t>house agent</t>
  </si>
  <si>
    <t xml:space="preserve">express trains </t>
  </si>
  <si>
    <t xml:space="preserve">knowledge sharing </t>
  </si>
  <si>
    <t>numerous</t>
  </si>
  <si>
    <t>investment schemes</t>
  </si>
  <si>
    <t xml:space="preserve">high winds </t>
  </si>
  <si>
    <t xml:space="preserve">uniform level </t>
  </si>
  <si>
    <t>repellent</t>
  </si>
  <si>
    <t>branch manager</t>
  </si>
  <si>
    <t xml:space="preserve">self-cafeteria </t>
  </si>
  <si>
    <t xml:space="preserve">seating capacity </t>
  </si>
  <si>
    <t>odd</t>
  </si>
  <si>
    <t>local hero (es)</t>
  </si>
  <si>
    <t xml:space="preserve">picture framing </t>
  </si>
  <si>
    <t>factual</t>
  </si>
  <si>
    <t>side entrance/gate</t>
  </si>
  <si>
    <t xml:space="preserve">European painting </t>
  </si>
  <si>
    <t xml:space="preserve">packing materials </t>
  </si>
  <si>
    <t>purple</t>
  </si>
  <si>
    <t>client engineer</t>
  </si>
  <si>
    <t xml:space="preserve">learning zone </t>
  </si>
  <si>
    <t xml:space="preserve">story conference </t>
  </si>
  <si>
    <t>consolidation</t>
  </si>
  <si>
    <t>post office</t>
  </si>
  <si>
    <t xml:space="preserve">historical photograph </t>
  </si>
  <si>
    <t xml:space="preserve">stage production </t>
  </si>
  <si>
    <t>conscious</t>
  </si>
  <si>
    <t>cinema zone</t>
  </si>
  <si>
    <t xml:space="preserve">planning meeting </t>
  </si>
  <si>
    <t>auditory</t>
  </si>
  <si>
    <t>office furniture</t>
  </si>
  <si>
    <t>hot chocolate</t>
  </si>
  <si>
    <t xml:space="preserve">population movement </t>
  </si>
  <si>
    <t>advanced lessons</t>
  </si>
  <si>
    <t xml:space="preserve">garden pots </t>
  </si>
  <si>
    <t xml:space="preserve">interview method </t>
  </si>
  <si>
    <t>intimate</t>
  </si>
  <si>
    <t>warm clothing</t>
  </si>
  <si>
    <t>tap water</t>
  </si>
  <si>
    <t xml:space="preserve">exam preparation </t>
  </si>
  <si>
    <t>nightmare</t>
  </si>
  <si>
    <t>free entry</t>
  </si>
  <si>
    <t xml:space="preserve">professional knowledge </t>
  </si>
  <si>
    <t xml:space="preserve">weaker students </t>
  </si>
  <si>
    <t>teaspoon</t>
  </si>
  <si>
    <t xml:space="preserve">special buses </t>
  </si>
  <si>
    <t xml:space="preserve">external organisation </t>
  </si>
  <si>
    <t>beetroot</t>
  </si>
  <si>
    <t xml:space="preserve">education facilities </t>
  </si>
  <si>
    <t>word limit</t>
  </si>
  <si>
    <t>retrieval</t>
  </si>
  <si>
    <t>petrol station</t>
  </si>
  <si>
    <t xml:space="preserve">order form </t>
  </si>
  <si>
    <t xml:space="preserve">internet connections </t>
  </si>
  <si>
    <t>prompt</t>
  </si>
  <si>
    <t xml:space="preserve">check number </t>
  </si>
  <si>
    <t xml:space="preserve">professional learning </t>
  </si>
  <si>
    <t>impairment</t>
  </si>
  <si>
    <t>employment medical certificate</t>
  </si>
  <si>
    <t xml:space="preserve">signed delivery note </t>
  </si>
  <si>
    <t xml:space="preserve">in-class simulation </t>
  </si>
  <si>
    <t>autism</t>
  </si>
  <si>
    <t>regular check</t>
  </si>
  <si>
    <t xml:space="preserve">unappealing appearance </t>
  </si>
  <si>
    <t xml:space="preserve">video recording </t>
  </si>
  <si>
    <t>autistic</t>
  </si>
  <si>
    <t>sports injury</t>
  </si>
  <si>
    <t xml:space="preserve">black swans </t>
  </si>
  <si>
    <t xml:space="preserve">plastic bottle </t>
  </si>
  <si>
    <t>textile</t>
  </si>
  <si>
    <t xml:space="preserve">historical exhibition </t>
  </si>
  <si>
    <t xml:space="preserve">residence hall </t>
  </si>
  <si>
    <t>long-lasting</t>
  </si>
  <si>
    <t>space museum</t>
  </si>
  <si>
    <t xml:space="preserve">hot meal </t>
  </si>
  <si>
    <t xml:space="preserve">life science </t>
  </si>
  <si>
    <t>poisonous</t>
  </si>
  <si>
    <t xml:space="preserve">head office </t>
  </si>
  <si>
    <t xml:space="preserve">financial planning </t>
  </si>
  <si>
    <t>medal</t>
  </si>
  <si>
    <t>personal attention</t>
  </si>
  <si>
    <t xml:space="preserve">music room </t>
  </si>
  <si>
    <t xml:space="preserve">medical skills </t>
  </si>
  <si>
    <t>additive</t>
  </si>
  <si>
    <t xml:space="preserve">classroom tour </t>
  </si>
  <si>
    <t xml:space="preserve">customer relationship </t>
  </si>
  <si>
    <t>ingredient</t>
  </si>
  <si>
    <t xml:space="preserve">central heating </t>
  </si>
  <si>
    <t xml:space="preserve">tea and coffee </t>
  </si>
  <si>
    <t xml:space="preserve">department head </t>
  </si>
  <si>
    <t>consumer</t>
  </si>
  <si>
    <t xml:space="preserve">chess club </t>
  </si>
  <si>
    <t xml:space="preserve">interview questions </t>
  </si>
  <si>
    <t>colony</t>
  </si>
  <si>
    <t xml:space="preserve">monthly magazines </t>
  </si>
  <si>
    <t xml:space="preserve">identity card </t>
  </si>
  <si>
    <t>daytime temperature</t>
  </si>
  <si>
    <t xml:space="preserve">animal life </t>
  </si>
  <si>
    <t xml:space="preserve">dress code </t>
  </si>
  <si>
    <t xml:space="preserve">social event </t>
  </si>
  <si>
    <t xml:space="preserve">preserve memories </t>
  </si>
  <si>
    <t>accept</t>
  </si>
  <si>
    <t>outdoor swimming pool</t>
  </si>
  <si>
    <t xml:space="preserve">annual report </t>
  </si>
  <si>
    <t xml:space="preserve">show off status </t>
  </si>
  <si>
    <t>emotions</t>
  </si>
  <si>
    <t>baseball coach</t>
  </si>
  <si>
    <t xml:space="preserve">spare socks </t>
  </si>
  <si>
    <t xml:space="preserve">reflect tastes </t>
  </si>
  <si>
    <t>purpose</t>
  </si>
  <si>
    <t>coral reef</t>
  </si>
  <si>
    <t xml:space="preserve">total block </t>
  </si>
  <si>
    <t xml:space="preserve">personal identity </t>
  </si>
  <si>
    <t>rock pool</t>
  </si>
  <si>
    <t xml:space="preserve">local museum </t>
  </si>
  <si>
    <t xml:space="preserve">local community </t>
  </si>
  <si>
    <t>rivals</t>
  </si>
  <si>
    <t>maintenance of gardens</t>
  </si>
  <si>
    <t xml:space="preserve">secondary project </t>
  </si>
  <si>
    <t xml:space="preserve">storage warehouse </t>
  </si>
  <si>
    <t>town hall</t>
  </si>
  <si>
    <t xml:space="preserve">late afternoon </t>
  </si>
  <si>
    <t xml:space="preserve">social information </t>
  </si>
  <si>
    <t>good value</t>
  </si>
  <si>
    <t xml:space="preserve">back entrance </t>
  </si>
  <si>
    <t xml:space="preserve">creative ideas </t>
  </si>
  <si>
    <t xml:space="preserve">storage space </t>
  </si>
  <si>
    <t xml:space="preserve">living expenses </t>
  </si>
  <si>
    <t xml:space="preserve">emergency button </t>
  </si>
  <si>
    <t xml:space="preserve">survey methods </t>
  </si>
  <si>
    <t>fertiliser</t>
  </si>
  <si>
    <t>order section</t>
  </si>
  <si>
    <t xml:space="preserve">hot spring </t>
  </si>
  <si>
    <t xml:space="preserve">flour outlet </t>
  </si>
  <si>
    <t xml:space="preserve">disabled people </t>
  </si>
  <si>
    <t xml:space="preserve">permanent records </t>
  </si>
  <si>
    <t>microscope</t>
  </si>
  <si>
    <t>advanced level</t>
  </si>
  <si>
    <t xml:space="preserve">specific period </t>
  </si>
  <si>
    <t xml:space="preserve">optional course </t>
  </si>
  <si>
    <t>book keeper</t>
  </si>
  <si>
    <t xml:space="preserve">minimum period </t>
  </si>
  <si>
    <t xml:space="preserve">drinking machines </t>
  </si>
  <si>
    <t>flavour</t>
  </si>
  <si>
    <t>washing staff</t>
  </si>
  <si>
    <t xml:space="preserve">health check </t>
  </si>
  <si>
    <t xml:space="preserve">cash machine </t>
  </si>
  <si>
    <t>home welcome</t>
  </si>
  <si>
    <t xml:space="preserve">sports equipment </t>
  </si>
  <si>
    <t xml:space="preserve">laundry service </t>
  </si>
  <si>
    <t>whistle</t>
  </si>
  <si>
    <t>evening meals</t>
  </si>
  <si>
    <t xml:space="preserve">town hall </t>
  </si>
  <si>
    <t xml:space="preserve">photocopy office </t>
  </si>
  <si>
    <t>instinctive</t>
  </si>
  <si>
    <t>health service</t>
  </si>
  <si>
    <t xml:space="preserve">baby kangaroo </t>
  </si>
  <si>
    <t xml:space="preserve">self-access lab </t>
  </si>
  <si>
    <t>old-fashioned exterior</t>
  </si>
  <si>
    <t xml:space="preserve">part-time job </t>
  </si>
  <si>
    <t xml:space="preserve">electronic directory </t>
  </si>
  <si>
    <t>preserved</t>
  </si>
  <si>
    <t>limited parking</t>
  </si>
  <si>
    <t xml:space="preserve">business courses </t>
  </si>
  <si>
    <t xml:space="preserve">text structure </t>
  </si>
  <si>
    <t>poet</t>
  </si>
  <si>
    <t>name cards</t>
  </si>
  <si>
    <t xml:space="preserve">senior staff </t>
  </si>
  <si>
    <t xml:space="preserve">digital history </t>
  </si>
  <si>
    <t>antibiotic</t>
  </si>
  <si>
    <t xml:space="preserve">English channel </t>
  </si>
  <si>
    <t xml:space="preserve">media studies </t>
  </si>
  <si>
    <t>private company</t>
  </si>
  <si>
    <t xml:space="preserve">tropical zone </t>
  </si>
  <si>
    <t xml:space="preserve">natural resources </t>
  </si>
  <si>
    <t>silver package</t>
  </si>
  <si>
    <t xml:space="preserve">tower view </t>
  </si>
  <si>
    <t xml:space="preserve">environmental projects </t>
  </si>
  <si>
    <t>family photo</t>
  </si>
  <si>
    <t xml:space="preserve">elephant zone </t>
  </si>
  <si>
    <t xml:space="preserve">global access </t>
  </si>
  <si>
    <t>energy saving</t>
  </si>
  <si>
    <t xml:space="preserve">travel centre </t>
  </si>
  <si>
    <t xml:space="preserve">listening task </t>
  </si>
  <si>
    <t>chemicals</t>
  </si>
  <si>
    <t>driving licence/license</t>
  </si>
  <si>
    <t xml:space="preserve">travel package </t>
  </si>
  <si>
    <t xml:space="preserve">book loan </t>
  </si>
  <si>
    <t xml:space="preserve">job title </t>
  </si>
  <si>
    <t xml:space="preserve">budget trip </t>
  </si>
  <si>
    <t xml:space="preserve">compulsory course </t>
  </si>
  <si>
    <t>restrained</t>
  </si>
  <si>
    <t>type of magazine</t>
  </si>
  <si>
    <t xml:space="preserve">long vacation </t>
  </si>
  <si>
    <t xml:space="preserve">full-time study </t>
  </si>
  <si>
    <t>documentation</t>
  </si>
  <si>
    <t>starting salary</t>
  </si>
  <si>
    <t xml:space="preserve">supportive atmosphere </t>
  </si>
  <si>
    <t xml:space="preserve">flexible-time study </t>
  </si>
  <si>
    <t>tutorials</t>
  </si>
  <si>
    <t>calling diversion</t>
  </si>
  <si>
    <t xml:space="preserve">store room </t>
  </si>
  <si>
    <t xml:space="preserve">active volcano </t>
  </si>
  <si>
    <t>renew passport</t>
  </si>
  <si>
    <t xml:space="preserve">coffee machine </t>
  </si>
  <si>
    <t xml:space="preserve">extinct volcano </t>
  </si>
  <si>
    <t>journalism</t>
  </si>
  <si>
    <t>current address</t>
  </si>
  <si>
    <t xml:space="preserve">front desk </t>
  </si>
  <si>
    <t xml:space="preserve">cleaning products </t>
  </si>
  <si>
    <t>flower shop</t>
  </si>
  <si>
    <t xml:space="preserve">seating area </t>
  </si>
  <si>
    <t xml:space="preserve">placement test </t>
  </si>
  <si>
    <t>remember</t>
  </si>
  <si>
    <t>nursery supervisor</t>
  </si>
  <si>
    <t xml:space="preserve">local residents </t>
  </si>
  <si>
    <t xml:space="preserve">company premises </t>
  </si>
  <si>
    <t>navigational</t>
  </si>
  <si>
    <t>gold stars</t>
  </si>
  <si>
    <t xml:space="preserve">board games </t>
  </si>
  <si>
    <t xml:space="preserve">leisure activities </t>
  </si>
  <si>
    <t xml:space="preserve">massage room </t>
  </si>
  <si>
    <t xml:space="preserve">senior advisor </t>
  </si>
  <si>
    <t>evolution</t>
  </si>
  <si>
    <t>special requirement</t>
  </si>
  <si>
    <t xml:space="preserve">equal length </t>
  </si>
  <si>
    <t xml:space="preserve">visual aids </t>
  </si>
  <si>
    <t>back row</t>
  </si>
  <si>
    <t xml:space="preserve">training course </t>
  </si>
  <si>
    <t xml:space="preserve">fossil remains </t>
  </si>
  <si>
    <t>commerce</t>
  </si>
  <si>
    <t xml:space="preserve">tutorial fee </t>
  </si>
  <si>
    <t xml:space="preserve">human interference </t>
  </si>
  <si>
    <t>furniture designers</t>
  </si>
  <si>
    <t xml:space="preserve">administration officer </t>
  </si>
  <si>
    <t xml:space="preserve">natural routine work </t>
  </si>
  <si>
    <t>Greek</t>
  </si>
  <si>
    <t xml:space="preserve">security officer </t>
  </si>
  <si>
    <t xml:space="preserve">coffee bar </t>
  </si>
  <si>
    <t>preferred occupation</t>
  </si>
  <si>
    <t xml:space="preserve">fire drill </t>
  </si>
  <si>
    <t xml:space="preserve">shop display </t>
  </si>
  <si>
    <t>mixture</t>
  </si>
  <si>
    <t>previous major</t>
  </si>
  <si>
    <t xml:space="preserve">card making </t>
  </si>
  <si>
    <t xml:space="preserve">personal service </t>
  </si>
  <si>
    <t>previous working experience</t>
  </si>
  <si>
    <t xml:space="preserve">interior design </t>
  </si>
  <si>
    <t xml:space="preserve">current study </t>
  </si>
  <si>
    <t>hospitality</t>
  </si>
  <si>
    <t>decoration bllons</t>
  </si>
  <si>
    <t xml:space="preserve">water colour painting </t>
  </si>
  <si>
    <t xml:space="preserve">video approach </t>
  </si>
  <si>
    <t>symbols</t>
  </si>
  <si>
    <t xml:space="preserve">venue change </t>
  </si>
  <si>
    <t xml:space="preserve">job opportunities </t>
  </si>
  <si>
    <t>flavours</t>
  </si>
  <si>
    <t xml:space="preserve">minimum age </t>
  </si>
  <si>
    <t xml:space="preserve">higher fees </t>
  </si>
  <si>
    <t>return tickets</t>
  </si>
  <si>
    <t xml:space="preserve">regional competition </t>
  </si>
  <si>
    <t xml:space="preserve">borrowed language </t>
  </si>
  <si>
    <t>critics</t>
  </si>
  <si>
    <t>error message</t>
  </si>
  <si>
    <t xml:space="preserve">special price </t>
  </si>
  <si>
    <t xml:space="preserve">confidence building </t>
  </si>
  <si>
    <t>protected</t>
  </si>
  <si>
    <t>customer service officer</t>
  </si>
  <si>
    <t xml:space="preserve">mixed age </t>
  </si>
  <si>
    <t xml:space="preserve">numeracy skill </t>
  </si>
  <si>
    <t>garden room</t>
  </si>
  <si>
    <t xml:space="preserve">government fund </t>
  </si>
  <si>
    <t xml:space="preserve">networking opportunities </t>
  </si>
  <si>
    <t>stimulate</t>
  </si>
  <si>
    <t>sleeping bag</t>
  </si>
  <si>
    <t xml:space="preserve">research method </t>
  </si>
  <si>
    <t xml:space="preserve">control room </t>
  </si>
  <si>
    <t xml:space="preserve">audio recording </t>
  </si>
  <si>
    <t>lonely</t>
  </si>
  <si>
    <t xml:space="preserve">waiting room </t>
  </si>
  <si>
    <t xml:space="preserve">lack of participation </t>
  </si>
  <si>
    <t>car number</t>
  </si>
  <si>
    <t xml:space="preserve">cup cleaning </t>
  </si>
  <si>
    <t xml:space="preserve">community reference </t>
  </si>
  <si>
    <t>trumpet</t>
  </si>
  <si>
    <t>group trip</t>
  </si>
  <si>
    <t xml:space="preserve">animal protection </t>
  </si>
  <si>
    <t xml:space="preserve">council meeting </t>
  </si>
  <si>
    <t>receiver</t>
  </si>
  <si>
    <t>self drive</t>
  </si>
  <si>
    <t>reset button</t>
  </si>
  <si>
    <t xml:space="preserve">renewable energy </t>
  </si>
  <si>
    <t>magnet</t>
  </si>
  <si>
    <t>non-smoking room</t>
  </si>
  <si>
    <t>experience skills</t>
  </si>
  <si>
    <t>nuclear plants</t>
  </si>
  <si>
    <t>culture centre</t>
  </si>
  <si>
    <t>contact number</t>
  </si>
  <si>
    <t>traditional resource</t>
  </si>
  <si>
    <t>lions</t>
  </si>
  <si>
    <t>dreamtime under stars</t>
  </si>
  <si>
    <t xml:space="preserve">small electric equipment </t>
  </si>
  <si>
    <t>modern authors</t>
  </si>
  <si>
    <t>stunning view</t>
  </si>
  <si>
    <t xml:space="preserve">solar panel </t>
  </si>
  <si>
    <t>feathers</t>
  </si>
  <si>
    <t>long stick</t>
  </si>
  <si>
    <t>street art</t>
  </si>
  <si>
    <t xml:space="preserve">sports shoes </t>
  </si>
  <si>
    <t>free parking</t>
  </si>
  <si>
    <t>horseback riding</t>
  </si>
  <si>
    <t xml:space="preserve">poor paying </t>
  </si>
  <si>
    <t>tent (ed) accommodation</t>
  </si>
  <si>
    <t xml:space="preserve">overseas training </t>
  </si>
  <si>
    <t>taxes</t>
  </si>
  <si>
    <t>extra room</t>
  </si>
  <si>
    <t xml:space="preserve">no chemical reaction </t>
  </si>
  <si>
    <t xml:space="preserve">low impact </t>
  </si>
  <si>
    <t>stress level (s)</t>
  </si>
  <si>
    <t xml:space="preserve">current material </t>
  </si>
  <si>
    <t xml:space="preserve">alternative energy </t>
  </si>
  <si>
    <t>short time</t>
  </si>
  <si>
    <t>brief notes</t>
  </si>
  <si>
    <t xml:space="preserve">roads and bridges </t>
  </si>
  <si>
    <t>required date</t>
  </si>
  <si>
    <t xml:space="preserve">high absence rate </t>
  </si>
  <si>
    <t>accommodation type</t>
  </si>
  <si>
    <t>essential training</t>
  </si>
  <si>
    <t xml:space="preserve">persuasive writing </t>
  </si>
  <si>
    <t>bills and meals</t>
  </si>
  <si>
    <t>weather observing</t>
  </si>
  <si>
    <t>university support staff</t>
  </si>
  <si>
    <t xml:space="preserve">academic essays </t>
  </si>
  <si>
    <t>sports centre</t>
  </si>
  <si>
    <t>background reading</t>
  </si>
  <si>
    <t xml:space="preserve">ocean conditions </t>
  </si>
  <si>
    <t>road runners</t>
  </si>
  <si>
    <t>online forum</t>
  </si>
  <si>
    <t xml:space="preserve">study ability </t>
  </si>
  <si>
    <t>job requirement</t>
  </si>
  <si>
    <t>thick trousers</t>
  </si>
  <si>
    <t>soil sample</t>
  </si>
  <si>
    <t xml:space="preserve">simple memories </t>
  </si>
  <si>
    <t>current occupation</t>
  </si>
  <si>
    <t>shuttle bus (es)</t>
  </si>
  <si>
    <t>blood pressure</t>
  </si>
  <si>
    <t xml:space="preserve">information sector </t>
  </si>
  <si>
    <t>length of stay</t>
  </si>
  <si>
    <t>virtual volunteer</t>
  </si>
  <si>
    <t>stress level</t>
  </si>
  <si>
    <t xml:space="preserve">digital store </t>
  </si>
  <si>
    <t>type of accommodation</t>
  </si>
  <si>
    <t>feed animals</t>
  </si>
  <si>
    <t>school stadiums</t>
  </si>
  <si>
    <t xml:space="preserve">volcanic dust </t>
  </si>
  <si>
    <t>spring park</t>
  </si>
  <si>
    <t>cake factory</t>
  </si>
  <si>
    <t>school gym</t>
  </si>
  <si>
    <t xml:space="preserve">bar code </t>
  </si>
  <si>
    <t>starting date</t>
  </si>
  <si>
    <t>smoke alarm</t>
  </si>
  <si>
    <t>less oxygen</t>
  </si>
  <si>
    <t xml:space="preserve">climate change </t>
  </si>
  <si>
    <t>reference number</t>
  </si>
  <si>
    <t>lookout point</t>
  </si>
  <si>
    <t>accurate date</t>
  </si>
  <si>
    <t xml:space="preserve">learning difficulty </t>
  </si>
  <si>
    <t>estimated value</t>
  </si>
  <si>
    <t>face painting</t>
  </si>
  <si>
    <t>similar age</t>
  </si>
  <si>
    <t xml:space="preserve">reading difficulty </t>
  </si>
  <si>
    <t>family use</t>
  </si>
  <si>
    <t>member restaurant</t>
  </si>
  <si>
    <t>sports activities</t>
  </si>
  <si>
    <t xml:space="preserve">low nutrition </t>
  </si>
  <si>
    <t>gallery shop</t>
  </si>
  <si>
    <t>art institution</t>
  </si>
  <si>
    <t xml:space="preserve">desert habitat </t>
  </si>
  <si>
    <t>preferred equipment</t>
  </si>
  <si>
    <t>food containers</t>
  </si>
  <si>
    <t>abstract design</t>
  </si>
  <si>
    <t xml:space="preserve">no change </t>
  </si>
  <si>
    <t>flight service</t>
  </si>
  <si>
    <t>largest proportion</t>
  </si>
  <si>
    <t xml:space="preserve">extra resources </t>
  </si>
  <si>
    <t>off-peak time</t>
  </si>
  <si>
    <t>observation checklist</t>
  </si>
  <si>
    <t xml:space="preserve">private property </t>
  </si>
  <si>
    <t>maximum price</t>
  </si>
  <si>
    <t>dance show</t>
  </si>
  <si>
    <t>non-observation method</t>
  </si>
  <si>
    <t xml:space="preserve">fruit growing </t>
  </si>
  <si>
    <t>helicopter trip</t>
  </si>
  <si>
    <t>delivery note</t>
  </si>
  <si>
    <t>test results</t>
  </si>
  <si>
    <t xml:space="preserve">specialised software </t>
  </si>
  <si>
    <t>membership number</t>
  </si>
  <si>
    <t>mountain climbing</t>
  </si>
  <si>
    <t>original jewellery</t>
  </si>
  <si>
    <t xml:space="preserve">chewing gum </t>
  </si>
  <si>
    <t>coach trip</t>
  </si>
  <si>
    <t>wood curve</t>
  </si>
  <si>
    <t xml:space="preserve">water pipes </t>
  </si>
  <si>
    <t>sports equipment</t>
  </si>
  <si>
    <t>bush fire</t>
  </si>
  <si>
    <t>crisis management</t>
  </si>
  <si>
    <t xml:space="preserve">big company </t>
  </si>
  <si>
    <t>poor quality</t>
  </si>
  <si>
    <t>attraction zone</t>
  </si>
  <si>
    <t>monitoring progress</t>
  </si>
  <si>
    <t xml:space="preserve">action plan </t>
  </si>
  <si>
    <t>fresh products</t>
  </si>
  <si>
    <t>handle animals</t>
  </si>
  <si>
    <t>program assessment</t>
  </si>
  <si>
    <t xml:space="preserve">window glass </t>
  </si>
  <si>
    <t>good washing facilities</t>
  </si>
  <si>
    <t>team building</t>
  </si>
  <si>
    <t xml:space="preserve">road building </t>
  </si>
  <si>
    <t>trial test</t>
  </si>
  <si>
    <t>budget management</t>
  </si>
  <si>
    <t xml:space="preserve">knife handle </t>
  </si>
  <si>
    <t>language sill</t>
  </si>
  <si>
    <t xml:space="preserve">provisional license </t>
  </si>
  <si>
    <t>finding investment</t>
  </si>
  <si>
    <t xml:space="preserve">olive oil </t>
  </si>
  <si>
    <t>group discount</t>
  </si>
  <si>
    <t xml:space="preserve">practical theory </t>
  </si>
  <si>
    <t>insufficient revenue</t>
  </si>
  <si>
    <t>goat skin</t>
  </si>
  <si>
    <t>night flight</t>
  </si>
  <si>
    <t xml:space="preserve">pretzel factory </t>
  </si>
  <si>
    <t>food shortage</t>
  </si>
  <si>
    <t xml:space="preserve">high temperatures </t>
  </si>
  <si>
    <t>White Mountain</t>
  </si>
  <si>
    <t>train ride</t>
  </si>
  <si>
    <t>power cut</t>
  </si>
  <si>
    <t xml:space="preserve">land bridge </t>
  </si>
  <si>
    <t>dust bag</t>
  </si>
  <si>
    <t xml:space="preserve">prepare refreshments </t>
  </si>
  <si>
    <t>visual guidance</t>
  </si>
  <si>
    <t xml:space="preserve">fresh meat </t>
  </si>
  <si>
    <t>golf court</t>
  </si>
  <si>
    <t xml:space="preserve">weather forecast </t>
  </si>
  <si>
    <t>information resources</t>
  </si>
  <si>
    <t xml:space="preserve">food intake </t>
  </si>
  <si>
    <t>rock climbing</t>
  </si>
  <si>
    <t>hot balloon</t>
  </si>
  <si>
    <t>reference letter</t>
  </si>
  <si>
    <t xml:space="preserve">eating pattern </t>
  </si>
  <si>
    <t>riendly faces</t>
  </si>
  <si>
    <t>family-fast-line track ticket</t>
  </si>
  <si>
    <t>flexible study time</t>
  </si>
  <si>
    <t xml:space="preserve">transport museum </t>
  </si>
  <si>
    <t>fast line ticket</t>
  </si>
  <si>
    <t>lab facilities</t>
  </si>
  <si>
    <t xml:space="preserve">water tanks </t>
  </si>
  <si>
    <t>grocery stores</t>
  </si>
  <si>
    <t>cowboy show ride</t>
  </si>
  <si>
    <t>medicine science</t>
  </si>
  <si>
    <t xml:space="preserve">government election </t>
  </si>
  <si>
    <t>egg cartons</t>
  </si>
  <si>
    <t>herbal treatment</t>
  </si>
  <si>
    <t>engine capacity</t>
  </si>
  <si>
    <t xml:space="preserve">car tax </t>
  </si>
  <si>
    <t>juice bottles</t>
  </si>
  <si>
    <t>skating rink</t>
  </si>
  <si>
    <t>greater utility</t>
  </si>
  <si>
    <t>electricity supply</t>
  </si>
  <si>
    <t>one-to-one coach</t>
  </si>
  <si>
    <t>safe car</t>
  </si>
  <si>
    <t xml:space="preserve">textile factory </t>
  </si>
  <si>
    <t>protection policy</t>
  </si>
  <si>
    <t>introductory price</t>
  </si>
  <si>
    <t>extra height</t>
  </si>
  <si>
    <t xml:space="preserve">tea tree oil </t>
  </si>
  <si>
    <t>group booking discount</t>
  </si>
  <si>
    <t>gym room</t>
  </si>
  <si>
    <t>field of vision</t>
  </si>
  <si>
    <t xml:space="preserve">video cameras </t>
  </si>
  <si>
    <t>sick pay</t>
  </si>
  <si>
    <t>heart monitor</t>
  </si>
  <si>
    <t>commercial applications</t>
  </si>
  <si>
    <t xml:space="preserve">carbon dioxide </t>
  </si>
  <si>
    <t>van driver</t>
  </si>
  <si>
    <t>free massage</t>
  </si>
  <si>
    <t>economic purpose</t>
  </si>
  <si>
    <t xml:space="preserve">global warming </t>
  </si>
  <si>
    <t>leather shoes</t>
  </si>
  <si>
    <t>water bottle</t>
  </si>
  <si>
    <t>higher cost</t>
  </si>
  <si>
    <t xml:space="preserve">online service </t>
  </si>
  <si>
    <t>advertising company</t>
  </si>
  <si>
    <t>beach front view</t>
  </si>
  <si>
    <t>cost of insurance</t>
  </si>
  <si>
    <t xml:space="preserve">social activities </t>
  </si>
  <si>
    <t>teaching venue</t>
  </si>
  <si>
    <t>bright fabric</t>
  </si>
  <si>
    <t>destination desert</t>
  </si>
  <si>
    <t xml:space="preserve">further training </t>
  </si>
  <si>
    <t>total payment</t>
  </si>
  <si>
    <t>well-known singer</t>
  </si>
  <si>
    <t>marine desert</t>
  </si>
  <si>
    <t xml:space="preserve">internal flight </t>
  </si>
  <si>
    <t>vegetarian food</t>
  </si>
  <si>
    <t>bottle collection</t>
  </si>
  <si>
    <t>social interactions</t>
  </si>
  <si>
    <t>different performers</t>
  </si>
  <si>
    <t>ink cartridge</t>
  </si>
  <si>
    <t>unexpected noise</t>
  </si>
  <si>
    <t xml:space="preserve">short stroke </t>
  </si>
  <si>
    <t>new opera</t>
  </si>
  <si>
    <t>picnic area</t>
  </si>
  <si>
    <t>unbalanced skill improvements</t>
  </si>
  <si>
    <t xml:space="preserve">large-scale housing </t>
  </si>
  <si>
    <t>fridge model</t>
  </si>
  <si>
    <t>meal ticket</t>
  </si>
  <si>
    <t>gradual way</t>
  </si>
  <si>
    <t xml:space="preserve">group meeting </t>
  </si>
  <si>
    <t>top mount</t>
  </si>
  <si>
    <t>fuel consumption</t>
  </si>
  <si>
    <t>job responsibilities</t>
  </si>
  <si>
    <t xml:space="preserve">standard feedback </t>
  </si>
  <si>
    <t>financial loss</t>
  </si>
  <si>
    <t>oil filter</t>
  </si>
  <si>
    <t>local faculty</t>
  </si>
  <si>
    <t xml:space="preserve">mission statement </t>
  </si>
  <si>
    <t>on the rack</t>
  </si>
  <si>
    <t>global travel</t>
  </si>
  <si>
    <t>material background</t>
  </si>
  <si>
    <t xml:space="preserve">training session </t>
  </si>
  <si>
    <t>long strap</t>
  </si>
  <si>
    <t>loss of instruments</t>
  </si>
  <si>
    <t>unanswered questions</t>
  </si>
  <si>
    <t xml:space="preserve">soil damage </t>
  </si>
  <si>
    <t>leather, jacket</t>
  </si>
  <si>
    <t>steer the boat</t>
  </si>
  <si>
    <t>standard format</t>
  </si>
  <si>
    <t xml:space="preserve">broken axe </t>
  </si>
  <si>
    <t>total value</t>
  </si>
  <si>
    <t>marine animals</t>
  </si>
  <si>
    <t>practical knowledge</t>
  </si>
  <si>
    <t xml:space="preserve">fish bones </t>
  </si>
  <si>
    <t>public outskits</t>
  </si>
  <si>
    <t>marine history</t>
  </si>
  <si>
    <t>business journalism</t>
  </si>
  <si>
    <t xml:space="preserve">triangle-shaped </t>
  </si>
  <si>
    <t>customer service</t>
  </si>
  <si>
    <t>meadow campsite</t>
  </si>
  <si>
    <t>scientific term</t>
  </si>
  <si>
    <t xml:space="preserve">absence rate </t>
  </si>
  <si>
    <t>international express</t>
  </si>
  <si>
    <t>caravan park</t>
  </si>
  <si>
    <t>childish language</t>
  </si>
  <si>
    <t xml:space="preserve">green tax </t>
  </si>
  <si>
    <t>postalfee</t>
  </si>
  <si>
    <t>green lounge</t>
  </si>
  <si>
    <t>seed germination</t>
  </si>
  <si>
    <t xml:space="preserve">transport service </t>
  </si>
  <si>
    <t>lost mails</t>
  </si>
  <si>
    <t>cash point</t>
  </si>
  <si>
    <t>objective matters</t>
  </si>
  <si>
    <t xml:space="preserve">sleeping disturbance </t>
  </si>
  <si>
    <t>ID code numbers</t>
  </si>
  <si>
    <t>unregistered taxi</t>
  </si>
  <si>
    <t>housing project</t>
  </si>
  <si>
    <t xml:space="preserve">public square </t>
  </si>
  <si>
    <t>student discount</t>
  </si>
  <si>
    <t>plastic bag</t>
  </si>
  <si>
    <t>colors and fonts</t>
  </si>
  <si>
    <t xml:space="preserve">feeding time </t>
  </si>
  <si>
    <t>compulsory modules</t>
  </si>
  <si>
    <t>book allowance</t>
  </si>
  <si>
    <t xml:space="preserve">vertical cabin </t>
  </si>
  <si>
    <t>comfortable shoes</t>
  </si>
  <si>
    <t xml:space="preserve">ask for apology </t>
  </si>
  <si>
    <t>daytime class</t>
  </si>
  <si>
    <t>final score</t>
  </si>
  <si>
    <t xml:space="preserve">voices and faces </t>
  </si>
  <si>
    <t>value of money</t>
  </si>
  <si>
    <t>ancient history</t>
  </si>
  <si>
    <t>heart rate</t>
  </si>
  <si>
    <t>in transit</t>
  </si>
  <si>
    <t>wooden peg</t>
  </si>
  <si>
    <t>red blood cell</t>
  </si>
  <si>
    <t>length of waiting</t>
  </si>
  <si>
    <t>animal bones</t>
  </si>
  <si>
    <t>Indian tribes</t>
  </si>
  <si>
    <t>electronic game centre</t>
  </si>
  <si>
    <t xml:space="preserve">roof scaffold </t>
  </si>
  <si>
    <t xml:space="preserve">grain pattern </t>
  </si>
  <si>
    <t>free recipe</t>
  </si>
  <si>
    <t xml:space="preserve">changing room </t>
  </si>
  <si>
    <t xml:space="preserve">prime motivation </t>
  </si>
  <si>
    <t>Asian cooking class</t>
  </si>
  <si>
    <t xml:space="preserve">hospital comedy </t>
  </si>
  <si>
    <t xml:space="preserve">streets and roads </t>
  </si>
  <si>
    <t>conference centre</t>
  </si>
  <si>
    <t xml:space="preserve">family life </t>
  </si>
  <si>
    <t xml:space="preserve">forest planet </t>
  </si>
  <si>
    <t>business companies</t>
  </si>
  <si>
    <t xml:space="preserve">science fiction </t>
  </si>
  <si>
    <t>inconvenient location</t>
  </si>
  <si>
    <t xml:space="preserve">heavy stuff </t>
  </si>
  <si>
    <t xml:space="preserve">ship building </t>
  </si>
  <si>
    <t>basic package</t>
  </si>
  <si>
    <t xml:space="preserve">business district </t>
  </si>
  <si>
    <t xml:space="preserve">natural fibre </t>
  </si>
  <si>
    <t>good performance</t>
  </si>
  <si>
    <t xml:space="preserve">garden tools </t>
  </si>
  <si>
    <t xml:space="preserve">melting pot </t>
  </si>
  <si>
    <t>public show</t>
  </si>
  <si>
    <t xml:space="preserve">exotic plants </t>
  </si>
  <si>
    <t xml:space="preserve">carbon mining </t>
  </si>
  <si>
    <t>vocal class</t>
  </si>
  <si>
    <t xml:space="preserve">building materials </t>
  </si>
  <si>
    <t xml:space="preserve">fishing lesson </t>
  </si>
  <si>
    <t xml:space="preserve">single session </t>
  </si>
  <si>
    <t xml:space="preserve">known world </t>
  </si>
  <si>
    <t>personal tutor</t>
  </si>
  <si>
    <t xml:space="preserve">English proficiency </t>
  </si>
  <si>
    <t xml:space="preserve">silver coins </t>
  </si>
  <si>
    <t>ozone layer</t>
  </si>
  <si>
    <t xml:space="preserve">police offence </t>
  </si>
  <si>
    <t xml:space="preserve">Roman emperor </t>
  </si>
  <si>
    <t>coastal roads</t>
  </si>
  <si>
    <t xml:space="preserve">traffic violation </t>
  </si>
  <si>
    <t xml:space="preserve">social conformity </t>
  </si>
  <si>
    <t>changing room</t>
  </si>
  <si>
    <t xml:space="preserve">practical elements </t>
  </si>
  <si>
    <t>law firm</t>
  </si>
  <si>
    <t>extra transportation cost</t>
  </si>
  <si>
    <t xml:space="preserve">tuition fees </t>
  </si>
  <si>
    <t xml:space="preserve">protective clothing </t>
  </si>
  <si>
    <t>personal use</t>
  </si>
  <si>
    <t xml:space="preserve">market share </t>
  </si>
  <si>
    <t xml:space="preserve">agriculture fair </t>
  </si>
  <si>
    <t xml:space="preserve">reflective practice </t>
  </si>
  <si>
    <t>side gate</t>
  </si>
  <si>
    <t xml:space="preserve">habitat loss </t>
  </si>
  <si>
    <t xml:space="preserve">electric card </t>
  </si>
  <si>
    <t xml:space="preserve">rich experiences </t>
  </si>
  <si>
    <t>green ride</t>
  </si>
  <si>
    <t xml:space="preserve">solar panels </t>
  </si>
  <si>
    <t xml:space="preserve">zero noisy </t>
  </si>
  <si>
    <t>child seat</t>
  </si>
  <si>
    <t xml:space="preserve">electric cooker </t>
  </si>
  <si>
    <t xml:space="preserve">durable contracture </t>
  </si>
  <si>
    <t>gas cooker</t>
  </si>
  <si>
    <t xml:space="preserve">land resources </t>
  </si>
  <si>
    <t>enquiry desk=inquiry desk</t>
  </si>
  <si>
    <t xml:space="preserve">fish farming </t>
  </si>
  <si>
    <t>campus clinic</t>
  </si>
  <si>
    <t xml:space="preserve">hospitality industry </t>
  </si>
  <si>
    <t>local owners</t>
  </si>
  <si>
    <t xml:space="preserve">time and sequence </t>
  </si>
  <si>
    <t>clothes manufacturing</t>
  </si>
  <si>
    <t xml:space="preserve">language barrier </t>
  </si>
  <si>
    <t>professional model</t>
  </si>
  <si>
    <t xml:space="preserve">wealthy people </t>
  </si>
  <si>
    <t>fashion exhibition</t>
  </si>
  <si>
    <t xml:space="preserve">food prices </t>
  </si>
  <si>
    <t>坚持到现在你可太棒了 ！</t>
  </si>
  <si>
    <t>limited time</t>
  </si>
  <si>
    <t xml:space="preserve">presence rate </t>
  </si>
  <si>
    <t>祝你好运陌生人</t>
  </si>
  <si>
    <t>toy train</t>
  </si>
  <si>
    <t xml:space="preserve">direct route </t>
  </si>
  <si>
    <t>gift shop</t>
  </si>
  <si>
    <t xml:space="preserve">tracking devices </t>
  </si>
  <si>
    <t>free locker</t>
  </si>
  <si>
    <t xml:space="preserve">operation manager </t>
  </si>
  <si>
    <t>personal belongings</t>
  </si>
  <si>
    <t xml:space="preserve">fish hooks </t>
  </si>
  <si>
    <t>curriculum vitae</t>
  </si>
  <si>
    <t>rare glass</t>
  </si>
  <si>
    <t>volunteer list</t>
  </si>
  <si>
    <t xml:space="preserve">cooperation process </t>
  </si>
  <si>
    <t>luggage lockers</t>
  </si>
  <si>
    <t xml:space="preserve">social glue </t>
  </si>
  <si>
    <t>bike racks</t>
  </si>
  <si>
    <t xml:space="preserve">carpet case </t>
  </si>
  <si>
    <t>waiting room</t>
  </si>
  <si>
    <t xml:space="preserve">transport system </t>
  </si>
  <si>
    <t>test room</t>
  </si>
  <si>
    <t xml:space="preserve">hand torch </t>
  </si>
  <si>
    <t xml:space="preserve">boring content </t>
  </si>
  <si>
    <t xml:space="preserve">traditional lecture </t>
  </si>
  <si>
    <t>dinosaur bones</t>
  </si>
  <si>
    <t xml:space="preserve">regular basis </t>
  </si>
  <si>
    <t>night tour trip</t>
  </si>
  <si>
    <t xml:space="preserve">extreme sports </t>
  </si>
  <si>
    <t>artificial light</t>
  </si>
  <si>
    <t xml:space="preserve">lifestyle sports </t>
  </si>
  <si>
    <t>mineral resources</t>
  </si>
  <si>
    <t xml:space="preserve">better equipment </t>
  </si>
  <si>
    <t xml:space="preserve">traditional sports </t>
  </si>
  <si>
    <t xml:space="preserve">restricted regulations </t>
  </si>
  <si>
    <t>wood of hazel</t>
  </si>
  <si>
    <t xml:space="preserve">regular training </t>
  </si>
  <si>
    <t>building wood</t>
  </si>
  <si>
    <t xml:space="preserve">individual competition </t>
  </si>
  <si>
    <t>heavy stuff</t>
  </si>
  <si>
    <t xml:space="preserve">sense of community </t>
  </si>
  <si>
    <t>annual report</t>
  </si>
  <si>
    <t xml:space="preserve">salt content </t>
  </si>
  <si>
    <t>trade journals</t>
  </si>
  <si>
    <t xml:space="preserve">rice cultivation </t>
  </si>
  <si>
    <t xml:space="preserve">skin of frog </t>
  </si>
  <si>
    <t xml:space="preserve">glass bottle </t>
  </si>
  <si>
    <t xml:space="preserve">open roof </t>
  </si>
  <si>
    <t xml:space="preserve">sand base </t>
  </si>
  <si>
    <t xml:space="preserve">high protein </t>
  </si>
  <si>
    <t>fibre diet</t>
  </si>
  <si>
    <t xml:space="preserve">constant temperature </t>
  </si>
  <si>
    <t xml:space="preserve">average size </t>
  </si>
  <si>
    <t xml:space="preserve">good eyesight </t>
  </si>
  <si>
    <t xml:space="preserve">major illness </t>
  </si>
  <si>
    <t xml:space="preserve">quality of life </t>
  </si>
  <si>
    <t xml:space="preserve">physical changes </t>
  </si>
  <si>
    <t>particular disease</t>
  </si>
  <si>
    <t>botanic garden</t>
  </si>
  <si>
    <t>emergency locator beacon</t>
  </si>
  <si>
    <t>digestive problem</t>
  </si>
  <si>
    <t>red blood cells</t>
  </si>
  <si>
    <t>weight loss</t>
  </si>
  <si>
    <t>fishing net</t>
  </si>
  <si>
    <t>pigeons and rats</t>
  </si>
  <si>
    <t>mineral soil</t>
  </si>
  <si>
    <t>stored temperature</t>
  </si>
  <si>
    <t>frozen food</t>
  </si>
  <si>
    <t>mission statement</t>
  </si>
  <si>
    <t>administration officer</t>
  </si>
  <si>
    <t>machines or robots</t>
  </si>
  <si>
    <t>smooth ride</t>
  </si>
  <si>
    <t>rubber tyre</t>
  </si>
  <si>
    <t>desert locations</t>
  </si>
  <si>
    <t>southern Scotland</t>
  </si>
  <si>
    <t>head offices</t>
  </si>
  <si>
    <t>global market</t>
  </si>
  <si>
    <t>safe environment</t>
  </si>
  <si>
    <t>feeding time</t>
  </si>
  <si>
    <t>hearing loss</t>
  </si>
  <si>
    <t>silver coins</t>
  </si>
  <si>
    <t xml:space="preserve">maintain the gene diversity </t>
  </si>
  <si>
    <t xml:space="preserve">hinder domestic smells </t>
  </si>
  <si>
    <t xml:space="preserve">transport costs </t>
  </si>
  <si>
    <t>ship building</t>
  </si>
  <si>
    <t>三单元错词统计（加油哦！）</t>
  </si>
  <si>
    <t>四单元错词统计</t>
  </si>
  <si>
    <t>五单元错词统计</t>
  </si>
  <si>
    <t>十一单元错词统计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</si>
  <si>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</si>
  <si>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</si>
  <si>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</si>
  <si>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</si>
  <si>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</si>
  <si>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</si>
  <si>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</si>
  <si>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</si>
  <si>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</si>
  <si>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4--1</t>
  </si>
  <si>
    <t>4--2</t>
  </si>
  <si>
    <t>4--3</t>
  </si>
  <si>
    <t>4--4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</si>
  <si>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</si>
  <si>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</si>
  <si>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</si>
  <si>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</si>
  <si>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</si>
  <si>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</si>
  <si>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</si>
  <si>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</si>
  <si>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</si>
  <si>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</si>
  <si>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</si>
  <si>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5--12</t>
  </si>
  <si>
    <t>11--1</t>
  </si>
  <si>
    <t>11--2</t>
  </si>
  <si>
    <t>11--3</t>
  </si>
  <si>
    <t>11--4</t>
  </si>
  <si>
    <t>你也太强了吧</t>
  </si>
  <si>
    <t>加油鸭</t>
  </si>
  <si>
    <t>abstract</t>
    <phoneticPr fontId="12" type="noConversion"/>
  </si>
  <si>
    <r>
      <t>a</t>
    </r>
    <r>
      <rPr>
        <sz val="11"/>
        <color theme="1"/>
        <rFont val="等线"/>
        <family val="3"/>
        <charset val="134"/>
        <scheme val="minor"/>
      </rPr>
      <t>ccountant</t>
    </r>
    <phoneticPr fontId="12" type="noConversion"/>
  </si>
  <si>
    <r>
      <t>a</t>
    </r>
    <r>
      <rPr>
        <sz val="11"/>
        <color theme="1"/>
        <rFont val="等线"/>
        <family val="3"/>
        <charset val="134"/>
        <scheme val="minor"/>
      </rPr>
      <t>ccuracy</t>
    </r>
    <phoneticPr fontId="12" type="noConversion"/>
  </si>
  <si>
    <t>acid</t>
    <phoneticPr fontId="12" type="noConversion"/>
  </si>
  <si>
    <t>action</t>
    <phoneticPr fontId="12" type="noConversion"/>
  </si>
  <si>
    <t>activity</t>
    <phoneticPr fontId="12" type="noConversion"/>
  </si>
  <si>
    <t>actor</t>
    <phoneticPr fontId="12" type="noConversion"/>
  </si>
  <si>
    <t>adult</t>
    <phoneticPr fontId="12" type="noConversion"/>
  </si>
  <si>
    <t>adventure</t>
    <phoneticPr fontId="12" type="noConversion"/>
  </si>
  <si>
    <t>advertisement</t>
    <phoneticPr fontId="12" type="noConversion"/>
  </si>
  <si>
    <t>advertising</t>
    <phoneticPr fontId="12" type="noConversion"/>
  </si>
  <si>
    <t>advice</t>
    <phoneticPr fontId="12" type="noConversion"/>
  </si>
  <si>
    <t>age</t>
    <phoneticPr fontId="12" type="noConversion"/>
  </si>
  <si>
    <t>agency</t>
    <phoneticPr fontId="12" type="noConversion"/>
  </si>
  <si>
    <r>
      <t>a</t>
    </r>
    <r>
      <rPr>
        <sz val="11"/>
        <color theme="1"/>
        <rFont val="等线"/>
        <family val="3"/>
        <charset val="134"/>
        <scheme val="minor"/>
      </rPr>
      <t>greement</t>
    </r>
    <phoneticPr fontId="12" type="noConversion"/>
  </si>
  <si>
    <r>
      <t>a</t>
    </r>
    <r>
      <rPr>
        <sz val="11"/>
        <color theme="1"/>
        <rFont val="等线"/>
        <family val="3"/>
        <charset val="134"/>
        <scheme val="minor"/>
      </rPr>
      <t>griculture</t>
    </r>
    <phoneticPr fontId="12" type="noConversion"/>
  </si>
  <si>
    <r>
      <t>a</t>
    </r>
    <r>
      <rPr>
        <sz val="11"/>
        <color theme="1"/>
        <rFont val="等线"/>
        <family val="3"/>
        <charset val="134"/>
        <scheme val="minor"/>
      </rPr>
      <t>id</t>
    </r>
    <phoneticPr fontId="12" type="noConversion"/>
  </si>
  <si>
    <r>
      <t>a</t>
    </r>
    <r>
      <rPr>
        <sz val="11"/>
        <color theme="1"/>
        <rFont val="等线"/>
        <family val="3"/>
        <charset val="134"/>
        <scheme val="minor"/>
      </rPr>
      <t>im</t>
    </r>
    <phoneticPr fontId="12" type="noConversion"/>
  </si>
  <si>
    <r>
      <t>a</t>
    </r>
    <r>
      <rPr>
        <sz val="11"/>
        <color theme="1"/>
        <rFont val="等线"/>
        <family val="3"/>
        <charset val="134"/>
        <scheme val="minor"/>
      </rPr>
      <t>ir</t>
    </r>
    <phoneticPr fontId="12" type="noConversion"/>
  </si>
  <si>
    <r>
      <t>a</t>
    </r>
    <r>
      <rPr>
        <sz val="11"/>
        <color theme="1"/>
        <rFont val="等线"/>
        <family val="3"/>
        <charset val="134"/>
        <scheme val="minor"/>
      </rPr>
      <t>llergy</t>
    </r>
    <phoneticPr fontId="12" type="noConversion"/>
  </si>
  <si>
    <r>
      <t>a</t>
    </r>
    <r>
      <rPr>
        <sz val="11"/>
        <color theme="1"/>
        <rFont val="等线"/>
        <family val="3"/>
        <charset val="134"/>
        <scheme val="minor"/>
      </rPr>
      <t>lley</t>
    </r>
    <phoneticPr fontId="12" type="noConversion"/>
  </si>
  <si>
    <r>
      <t>a</t>
    </r>
    <r>
      <rPr>
        <sz val="11"/>
        <color theme="1"/>
        <rFont val="等线"/>
        <family val="3"/>
        <charset val="134"/>
        <scheme val="minor"/>
      </rPr>
      <t>llowance</t>
    </r>
    <phoneticPr fontId="12" type="noConversion"/>
  </si>
  <si>
    <r>
      <t>a</t>
    </r>
    <r>
      <rPr>
        <sz val="11"/>
        <color theme="1"/>
        <rFont val="等线"/>
        <family val="3"/>
        <charset val="134"/>
        <scheme val="minor"/>
      </rPr>
      <t>bservation</t>
    </r>
    <phoneticPr fontId="12" type="noConversion"/>
  </si>
  <si>
    <r>
      <t>a</t>
    </r>
    <r>
      <rPr>
        <sz val="11"/>
        <color theme="1"/>
        <rFont val="等线"/>
        <family val="3"/>
        <charset val="134"/>
        <scheme val="minor"/>
      </rPr>
      <t>ltitude</t>
    </r>
    <phoneticPr fontId="12" type="noConversion"/>
  </si>
  <si>
    <r>
      <t>a</t>
    </r>
    <r>
      <rPr>
        <sz val="11"/>
        <color theme="1"/>
        <rFont val="等线"/>
        <family val="3"/>
        <charset val="134"/>
        <scheme val="minor"/>
      </rPr>
      <t>mbition</t>
    </r>
    <phoneticPr fontId="12" type="noConversion"/>
  </si>
  <si>
    <r>
      <t>a</t>
    </r>
    <r>
      <rPr>
        <sz val="11"/>
        <color theme="1"/>
        <rFont val="等线"/>
        <family val="3"/>
        <charset val="134"/>
        <scheme val="minor"/>
      </rPr>
      <t>mbulance</t>
    </r>
    <phoneticPr fontId="12" type="noConversion"/>
  </si>
  <si>
    <r>
      <t>a</t>
    </r>
    <r>
      <rPr>
        <sz val="11"/>
        <color theme="1"/>
        <rFont val="等线"/>
        <family val="3"/>
        <charset val="134"/>
        <scheme val="minor"/>
      </rPr>
      <t>mount</t>
    </r>
    <phoneticPr fontId="12" type="noConversion"/>
  </si>
  <si>
    <r>
      <t>a</t>
    </r>
    <r>
      <rPr>
        <sz val="11"/>
        <color theme="1"/>
        <rFont val="等线"/>
        <family val="3"/>
        <charset val="134"/>
        <scheme val="minor"/>
      </rPr>
      <t>nalysis</t>
    </r>
    <phoneticPr fontId="12" type="noConversion"/>
  </si>
  <si>
    <r>
      <t>a</t>
    </r>
    <r>
      <rPr>
        <sz val="11"/>
        <color theme="1"/>
        <rFont val="等线"/>
        <family val="3"/>
        <charset val="134"/>
        <scheme val="minor"/>
      </rPr>
      <t>nalysist</t>
    </r>
    <phoneticPr fontId="12" type="noConversion"/>
  </si>
  <si>
    <r>
      <t>a</t>
    </r>
    <r>
      <rPr>
        <sz val="11"/>
        <color theme="1"/>
        <rFont val="等线"/>
        <family val="3"/>
        <charset val="134"/>
        <scheme val="minor"/>
      </rPr>
      <t>nger</t>
    </r>
    <phoneticPr fontId="12" type="noConversion"/>
  </si>
  <si>
    <r>
      <t>a</t>
    </r>
    <r>
      <rPr>
        <sz val="11"/>
        <color theme="1"/>
        <rFont val="等线"/>
        <family val="3"/>
        <charset val="134"/>
        <scheme val="minor"/>
      </rPr>
      <t>nimal</t>
    </r>
    <phoneticPr fontId="12" type="noConversion"/>
  </si>
  <si>
    <r>
      <t>a</t>
    </r>
    <r>
      <rPr>
        <sz val="11"/>
        <color theme="1"/>
        <rFont val="等线"/>
        <family val="3"/>
        <charset val="134"/>
        <scheme val="minor"/>
      </rPr>
      <t>nkle</t>
    </r>
    <phoneticPr fontId="12" type="noConversion"/>
  </si>
  <si>
    <r>
      <t>a</t>
    </r>
    <r>
      <rPr>
        <sz val="11"/>
        <color theme="1"/>
        <rFont val="等线"/>
        <family val="3"/>
        <charset val="134"/>
        <scheme val="minor"/>
      </rPr>
      <t>nswer</t>
    </r>
    <phoneticPr fontId="12" type="noConversion"/>
  </si>
  <si>
    <t>Antakia</t>
    <phoneticPr fontId="12" type="noConversion"/>
  </si>
  <si>
    <r>
      <t>a</t>
    </r>
    <r>
      <rPr>
        <sz val="11"/>
        <color theme="1"/>
        <rFont val="等线"/>
        <family val="3"/>
        <charset val="134"/>
        <scheme val="minor"/>
      </rPr>
      <t>pe</t>
    </r>
    <phoneticPr fontId="12" type="noConversion"/>
  </si>
  <si>
    <r>
      <t>a</t>
    </r>
    <r>
      <rPr>
        <sz val="11"/>
        <color theme="1"/>
        <rFont val="等线"/>
        <family val="3"/>
        <charset val="134"/>
        <scheme val="minor"/>
      </rPr>
      <t>ppearance</t>
    </r>
    <phoneticPr fontId="12" type="noConversion"/>
  </si>
  <si>
    <r>
      <t>a</t>
    </r>
    <r>
      <rPr>
        <sz val="11"/>
        <color theme="1"/>
        <rFont val="等线"/>
        <family val="3"/>
        <charset val="134"/>
        <scheme val="minor"/>
      </rPr>
      <t>rchtect</t>
    </r>
    <phoneticPr fontId="12" type="noConversion"/>
  </si>
  <si>
    <r>
      <t>a</t>
    </r>
    <r>
      <rPr>
        <sz val="11"/>
        <color theme="1"/>
        <rFont val="等线"/>
        <family val="3"/>
        <charset val="134"/>
        <scheme val="minor"/>
      </rPr>
      <t>rchatect</t>
    </r>
    <phoneticPr fontId="12" type="noConversion"/>
  </si>
  <si>
    <r>
      <t>a</t>
    </r>
    <r>
      <rPr>
        <sz val="11"/>
        <color theme="1"/>
        <rFont val="等线"/>
        <family val="3"/>
        <charset val="134"/>
        <scheme val="minor"/>
      </rPr>
      <t>rea</t>
    </r>
    <phoneticPr fontId="12" type="noConversion"/>
  </si>
  <si>
    <r>
      <t>a</t>
    </r>
    <r>
      <rPr>
        <sz val="11"/>
        <color theme="1"/>
        <rFont val="等线"/>
        <family val="3"/>
        <charset val="134"/>
        <scheme val="minor"/>
      </rPr>
      <t>rguments</t>
    </r>
    <phoneticPr fontId="12" type="noConversion"/>
  </si>
  <si>
    <r>
      <t>a</t>
    </r>
    <r>
      <rPr>
        <sz val="11"/>
        <color theme="1"/>
        <rFont val="等线"/>
        <family val="3"/>
        <charset val="134"/>
        <scheme val="minor"/>
      </rPr>
      <t>ristract</t>
    </r>
    <phoneticPr fontId="12" type="noConversion"/>
  </si>
  <si>
    <r>
      <t>a</t>
    </r>
    <r>
      <rPr>
        <sz val="11"/>
        <color theme="1"/>
        <rFont val="等线"/>
        <family val="3"/>
        <charset val="134"/>
        <scheme val="minor"/>
      </rPr>
      <t>rmy</t>
    </r>
    <phoneticPr fontId="12" type="noConversion"/>
  </si>
  <si>
    <r>
      <t>a</t>
    </r>
    <r>
      <rPr>
        <sz val="11"/>
        <color theme="1"/>
        <rFont val="等线"/>
        <family val="3"/>
        <charset val="134"/>
        <scheme val="minor"/>
      </rPr>
      <t>rt</t>
    </r>
    <phoneticPr fontId="12" type="noConversion"/>
  </si>
  <si>
    <r>
      <t>a</t>
    </r>
    <r>
      <rPr>
        <sz val="11"/>
        <color theme="1"/>
        <rFont val="等线"/>
        <family val="3"/>
        <charset val="134"/>
        <scheme val="minor"/>
      </rPr>
      <t>rticle</t>
    </r>
    <phoneticPr fontId="12" type="noConversion"/>
  </si>
  <si>
    <r>
      <t>a</t>
    </r>
    <r>
      <rPr>
        <sz val="11"/>
        <color theme="1"/>
        <rFont val="等线"/>
        <family val="3"/>
        <charset val="134"/>
        <scheme val="minor"/>
      </rPr>
      <t>sprin</t>
    </r>
    <phoneticPr fontId="12" type="noConversion"/>
  </si>
  <si>
    <r>
      <t>a</t>
    </r>
    <r>
      <rPr>
        <sz val="11"/>
        <color theme="1"/>
        <rFont val="等线"/>
        <family val="3"/>
        <charset val="134"/>
        <scheme val="minor"/>
      </rPr>
      <t>ssignment</t>
    </r>
    <phoneticPr fontId="12" type="noConversion"/>
  </si>
  <si>
    <r>
      <t>a</t>
    </r>
    <r>
      <rPr>
        <sz val="11"/>
        <color theme="1"/>
        <rFont val="等线"/>
        <family val="3"/>
        <charset val="134"/>
        <scheme val="minor"/>
      </rPr>
      <t>ta</t>
    </r>
    <phoneticPr fontId="12" type="noConversion"/>
  </si>
  <si>
    <r>
      <t>a</t>
    </r>
    <r>
      <rPr>
        <sz val="11"/>
        <color theme="1"/>
        <rFont val="等线"/>
        <family val="3"/>
        <charset val="134"/>
        <scheme val="minor"/>
      </rPr>
      <t>udience</t>
    </r>
    <phoneticPr fontId="12" type="noConversion"/>
  </si>
  <si>
    <t>auditoium</t>
    <phoneticPr fontId="12" type="noConversion"/>
  </si>
  <si>
    <r>
      <t>a</t>
    </r>
    <r>
      <rPr>
        <sz val="11"/>
        <color theme="1"/>
        <rFont val="等线"/>
        <family val="3"/>
        <charset val="134"/>
        <scheme val="minor"/>
      </rPr>
      <t>uthor</t>
    </r>
    <phoneticPr fontId="12" type="noConversion"/>
  </si>
  <si>
    <r>
      <t>a</t>
    </r>
    <r>
      <rPr>
        <sz val="11"/>
        <color theme="1"/>
        <rFont val="等线"/>
        <family val="3"/>
        <charset val="134"/>
        <scheme val="minor"/>
      </rPr>
      <t>uthority</t>
    </r>
    <phoneticPr fontId="12" type="noConversion"/>
  </si>
  <si>
    <r>
      <t>a</t>
    </r>
    <r>
      <rPr>
        <sz val="11"/>
        <color theme="1"/>
        <rFont val="等线"/>
        <family val="3"/>
        <charset val="134"/>
        <scheme val="minor"/>
      </rPr>
      <t>verage</t>
    </r>
    <phoneticPr fontId="12" type="noConversion"/>
  </si>
  <si>
    <r>
      <t>a</t>
    </r>
    <r>
      <rPr>
        <sz val="11"/>
        <color theme="1"/>
        <rFont val="等线"/>
        <family val="3"/>
        <charset val="134"/>
        <scheme val="minor"/>
      </rPr>
      <t>ward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</si>
  <si>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achelor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</si>
  <si>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ackground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</si>
  <si>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acteria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</si>
  <si>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adge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</si>
  <si>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adminton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</si>
  <si>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ackpack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</si>
  <si>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aldness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</si>
  <si>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and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</si>
  <si>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andage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</si>
  <si>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an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</si>
  <si>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ank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</si>
  <si>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ankquet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</si>
  <si>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ase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</si>
  <si>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asement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</si>
  <si>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asis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</si>
  <si>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asic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</si>
  <si>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ath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</si>
  <si>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atteries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</si>
  <si>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attery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</si>
  <si>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each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</si>
  <si>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?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</si>
  <si>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eath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</si>
  <si>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eauty</t>
    </r>
    <phoneticPr fontId="12" type="noConversion"/>
  </si>
  <si>
    <t>bed</t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</si>
  <si>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edroom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</si>
  <si>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edsheet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</si>
  <si>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edsit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</si>
  <si>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ehavior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</si>
  <si>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elt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</si>
  <si>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enefit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</si>
  <si>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average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</si>
  <si>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ilibiorga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</si>
  <si>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icycle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</si>
  <si>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ill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</si>
  <si>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iologist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</si>
  <si>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ird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</si>
  <si>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irth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</si>
  <si>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lanket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</si>
  <si>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last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</si>
  <si>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log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</si>
  <si>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low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</si>
  <si>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old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</si>
  <si>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older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</si>
  <si>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oat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</si>
  <si>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one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</si>
  <si>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owl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</si>
  <si>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owlling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</si>
  <si>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ranch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</si>
  <si>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reakfast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</si>
  <si>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reak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</si>
  <si>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ridge</t>
    </r>
    <phoneticPr fontId="12" type="noConversion"/>
  </si>
  <si>
    <t>?</t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</si>
  <si>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uilding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</si>
  <si>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unglow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</si>
  <si>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urger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</si>
  <si>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uglor</t>
    </r>
    <phoneticPr fontId="12" type="noConversion"/>
  </si>
  <si>
    <r>
      <t>b</t>
    </r>
    <r>
      <rPr>
        <sz val="11"/>
        <color theme="1"/>
        <rFont val="等线"/>
        <family val="3"/>
        <charset val="134"/>
        <scheme val="minor"/>
      </rPr>
      <t>us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</si>
  <si>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ab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</si>
  <si>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able</t>
    </r>
    <phoneticPr fontId="12" type="noConversion"/>
  </si>
  <si>
    <t>cafe</t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</si>
  <si>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afeteria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</si>
  <si>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age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</si>
  <si>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ambridge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</si>
  <si>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amel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</si>
  <si>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amera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</si>
  <si>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amp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</si>
  <si>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ampus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</si>
  <si>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andidate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</si>
  <si>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andle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</si>
  <si>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anteen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</si>
  <si>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apital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</si>
  <si>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apsule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</si>
  <si>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arbon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</si>
  <si>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are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</si>
  <si>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areer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</si>
  <si>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arpet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</si>
  <si>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arving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</si>
  <si>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ashier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</si>
  <si>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astle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</si>
  <si>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ategory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</si>
  <si>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ate?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</si>
  <si>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ause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</si>
  <si>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ave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</si>
  <si>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ent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</si>
  <si>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entry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</si>
  <si>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ertificate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</si>
  <si>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hair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</si>
  <si>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hance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</si>
  <si>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hanglor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</si>
  <si>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hannel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</si>
  <si>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hapter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</si>
  <si>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haracter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</si>
  <si>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harge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</si>
  <si>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harity</t>
    </r>
    <phoneticPr fontId="12" type="noConversion"/>
  </si>
  <si>
    <t>chart</t>
    <phoneticPr fontId="12" type="noConversion"/>
  </si>
  <si>
    <t>chat</t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</si>
  <si>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hecklist</t>
    </r>
    <phoneticPr fontId="12" type="noConversion"/>
  </si>
  <si>
    <t>check</t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</si>
  <si>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heese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</si>
  <si>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hemist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</si>
  <si>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hick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</si>
  <si>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hicken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</si>
  <si>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hild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</si>
  <si>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hin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</si>
  <si>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hocolate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</si>
  <si>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hoice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</si>
  <si>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hurch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</si>
  <si>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inema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</si>
  <si>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ircle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</si>
  <si>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ity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</si>
  <si>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larity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</si>
  <si>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leaner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</si>
  <si>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heanning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</si>
  <si>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lient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</si>
  <si>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liffs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</si>
  <si>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limate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</si>
  <si>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linic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</si>
  <si>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lock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</si>
  <si>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louth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</si>
  <si>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lothing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</si>
  <si>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lub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</si>
  <si>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oach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</si>
  <si>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oast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</si>
  <si>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ode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</si>
  <si>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oke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</si>
  <si>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ola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</si>
  <si>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olleague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</si>
  <si>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ollege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</si>
  <si>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omedy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</si>
  <si>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ommercials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</si>
  <si>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ommuter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</si>
  <si>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ompia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</si>
  <si>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ompany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</si>
  <si>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omplant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</si>
  <si>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omplex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</si>
  <si>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omputer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</si>
  <si>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oncert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</si>
  <si>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onclusion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</si>
  <si>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ondition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</si>
  <si>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onference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</si>
  <si>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onfidence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</si>
  <si>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onfirmation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</si>
  <si>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ongestion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</si>
  <si>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onquerer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</si>
  <si>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onquest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</si>
  <si>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onservation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</si>
  <si>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onstruction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</si>
  <si>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onsultant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</si>
  <si>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omsumption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</si>
  <si>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ontact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</si>
  <si>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ontainer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</si>
  <si>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ontaminate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</si>
  <si>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ontamination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</si>
  <si>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ontent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</si>
  <si>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ontenion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</si>
  <si>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ontract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</si>
  <si>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ontracts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</si>
  <si>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ontroversy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</si>
  <si>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onvenient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</si>
  <si>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ooperation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</si>
  <si>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op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</si>
  <si>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opy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</si>
  <si>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ops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</si>
  <si>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ooresbon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</si>
  <si>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ost</t>
    </r>
    <phoneticPr fontId="12" type="noConversion"/>
  </si>
  <si>
    <t>costume</t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</si>
  <si>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ot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</si>
  <si>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ottage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</si>
  <si>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off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</si>
  <si>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ouncil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</si>
  <si>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ountry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</si>
  <si>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ourse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</si>
  <si>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rack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</si>
  <si>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raft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</si>
  <si>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ream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</si>
  <si>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redit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</si>
  <si>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reck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</si>
  <si>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rime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</si>
  <si>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rysis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</si>
  <si>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rocodile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</si>
  <si>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rop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</si>
  <si>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ultivation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</si>
  <si>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ulture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</si>
  <si>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up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</si>
  <si>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upboard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</si>
  <si>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utton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</si>
  <si>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ustomer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</si>
  <si>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uttery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</si>
  <si>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ycle</t>
    </r>
    <phoneticPr fontId="12" type="noConversion"/>
  </si>
  <si>
    <r>
      <t>c</t>
    </r>
    <r>
      <rPr>
        <sz val="11"/>
        <color theme="1"/>
        <rFont val="等线"/>
        <family val="3"/>
        <charset val="134"/>
        <scheme val="minor"/>
      </rPr>
      <t>ycling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</si>
  <si>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amage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</si>
  <si>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anger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</si>
  <si>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ata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</si>
  <si>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ate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</si>
  <si>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ay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</si>
  <si>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eadline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</si>
  <si>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ebate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</si>
  <si>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ecade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</si>
  <si>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ecision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</si>
  <si>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ecline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</si>
  <si>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ecoration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</si>
  <si>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elay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</si>
  <si>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elagate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</si>
  <si>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elight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</si>
  <si>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elivery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</si>
  <si>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emonastration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</si>
  <si>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entist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</si>
  <si>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epartment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</si>
  <si>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eposit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</si>
  <si>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epth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</si>
  <si>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esciption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</si>
  <si>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esert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</si>
  <si>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esign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</si>
  <si>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esigner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</si>
  <si>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esire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</si>
  <si>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esks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</si>
  <si>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estnation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</si>
  <si>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etail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</si>
  <si>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iary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</si>
  <si>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etation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</si>
  <si>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iet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</si>
  <si>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ining</t>
    </r>
    <phoneticPr fontId="12" type="noConversion"/>
  </si>
  <si>
    <t>dinners</t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</si>
  <si>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ioxide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</si>
  <si>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iration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</si>
  <si>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irector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</si>
  <si>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isagreement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</si>
  <si>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iaster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</si>
  <si>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iscipline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</si>
  <si>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isco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</si>
  <si>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iscomfort</t>
    </r>
    <phoneticPr fontId="12" type="noConversion"/>
  </si>
  <si>
    <t>discos</t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</si>
  <si>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iscount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</si>
  <si>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iscovery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</si>
  <si>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isease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</si>
  <si>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ish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</si>
  <si>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isposal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</si>
  <si>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isbute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</si>
  <si>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istance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</si>
  <si>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ivorce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</si>
  <si>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ocument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</si>
  <si>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ocumentary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</si>
  <si>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onation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</si>
  <si>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onkey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</si>
  <si>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raft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</si>
  <si>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rama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</si>
  <si>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raw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</si>
  <si>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rawer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</si>
  <si>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rink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</si>
  <si>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rinking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</si>
  <si>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river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</si>
  <si>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riving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</si>
  <si>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rug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</si>
  <si>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rum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</si>
  <si>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ue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</si>
  <si>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uration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</si>
  <si>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ust</t>
    </r>
    <phoneticPr fontId="12" type="noConversion"/>
  </si>
  <si>
    <r>
      <t>d</t>
    </r>
    <r>
      <rPr>
        <sz val="11"/>
        <color theme="1"/>
        <rFont val="等线"/>
        <family val="3"/>
        <charset val="134"/>
        <scheme val="minor"/>
      </rPr>
      <t>uty</t>
    </r>
    <phoneticPr fontId="12" type="noConversion"/>
  </si>
  <si>
    <r>
      <t>e</t>
    </r>
    <r>
      <rPr>
        <sz val="11"/>
        <color theme="1"/>
        <rFont val="等线"/>
        <family val="3"/>
        <charset val="134"/>
        <scheme val="minor"/>
      </rPr>
      <t>agle</t>
    </r>
    <phoneticPr fontId="12" type="noConversion"/>
  </si>
  <si>
    <r>
      <t>e</t>
    </r>
    <r>
      <rPr>
        <sz val="11"/>
        <color theme="1"/>
        <rFont val="等线"/>
        <family val="3"/>
        <charset val="134"/>
        <scheme val="minor"/>
      </rPr>
      <t>ast</t>
    </r>
    <phoneticPr fontId="12" type="noConversion"/>
  </si>
  <si>
    <r>
      <t>e</t>
    </r>
    <r>
      <rPr>
        <sz val="11"/>
        <color theme="1"/>
        <rFont val="等线"/>
        <family val="3"/>
        <charset val="134"/>
        <scheme val="minor"/>
      </rPr>
      <t>ating</t>
    </r>
    <phoneticPr fontId="12" type="noConversion"/>
  </si>
  <si>
    <r>
      <t>e</t>
    </r>
    <r>
      <rPr>
        <sz val="11"/>
        <color theme="1"/>
        <rFont val="等线"/>
        <family val="3"/>
        <charset val="134"/>
        <scheme val="minor"/>
      </rPr>
      <t>conomy</t>
    </r>
    <phoneticPr fontId="12" type="noConversion"/>
  </si>
  <si>
    <r>
      <t>e</t>
    </r>
    <r>
      <rPr>
        <sz val="11"/>
        <color theme="1"/>
        <rFont val="等线"/>
        <family val="3"/>
        <charset val="134"/>
        <scheme val="minor"/>
      </rPr>
      <t>ditor</t>
    </r>
    <phoneticPr fontId="12" type="noConversion"/>
  </si>
  <si>
    <r>
      <t>e</t>
    </r>
    <r>
      <rPr>
        <sz val="11"/>
        <color theme="1"/>
        <rFont val="等线"/>
        <family val="3"/>
        <charset val="134"/>
        <scheme val="minor"/>
      </rPr>
      <t>ducation</t>
    </r>
    <phoneticPr fontId="12" type="noConversion"/>
  </si>
  <si>
    <r>
      <t>e</t>
    </r>
    <r>
      <rPr>
        <sz val="11"/>
        <color theme="1"/>
        <rFont val="等线"/>
        <family val="3"/>
        <charset val="134"/>
        <scheme val="minor"/>
      </rPr>
      <t>lbow</t>
    </r>
    <phoneticPr fontId="12" type="noConversion"/>
  </si>
  <si>
    <r>
      <t>e</t>
    </r>
    <r>
      <rPr>
        <sz val="11"/>
        <color theme="1"/>
        <rFont val="等线"/>
        <family val="3"/>
        <charset val="134"/>
        <scheme val="minor"/>
      </rPr>
      <t>lder</t>
    </r>
    <phoneticPr fontId="12" type="noConversion"/>
  </si>
  <si>
    <r>
      <t>e</t>
    </r>
    <r>
      <rPr>
        <sz val="11"/>
        <color theme="1"/>
        <rFont val="等线"/>
        <family val="3"/>
        <charset val="134"/>
        <scheme val="minor"/>
      </rPr>
      <t>lectricity</t>
    </r>
    <phoneticPr fontId="12" type="noConversion"/>
  </si>
  <si>
    <r>
      <t>e</t>
    </r>
    <r>
      <rPr>
        <sz val="11"/>
        <color theme="1"/>
        <rFont val="等线"/>
        <family val="3"/>
        <charset val="134"/>
        <scheme val="minor"/>
      </rPr>
      <t>lements</t>
    </r>
    <phoneticPr fontId="12" type="noConversion"/>
  </si>
  <si>
    <r>
      <t>e</t>
    </r>
    <r>
      <rPr>
        <sz val="11"/>
        <color theme="1"/>
        <rFont val="等线"/>
        <family val="3"/>
        <charset val="134"/>
        <scheme val="minor"/>
      </rPr>
      <t>levator</t>
    </r>
    <phoneticPr fontId="12" type="noConversion"/>
  </si>
  <si>
    <r>
      <t>e</t>
    </r>
    <r>
      <rPr>
        <sz val="11"/>
        <color theme="1"/>
        <rFont val="等线"/>
        <family val="3"/>
        <charset val="134"/>
        <scheme val="minor"/>
      </rPr>
      <t>motion</t>
    </r>
    <phoneticPr fontId="12" type="noConversion"/>
  </si>
  <si>
    <r>
      <t>e</t>
    </r>
    <r>
      <rPr>
        <sz val="11"/>
        <color theme="1"/>
        <rFont val="等线"/>
        <family val="3"/>
        <charset val="134"/>
        <scheme val="minor"/>
      </rPr>
      <t>mperor</t>
    </r>
    <phoneticPr fontId="12" type="noConversion"/>
  </si>
  <si>
    <r>
      <t>e</t>
    </r>
    <r>
      <rPr>
        <sz val="11"/>
        <color theme="1"/>
        <rFont val="等线"/>
        <family val="3"/>
        <charset val="134"/>
        <scheme val="minor"/>
      </rPr>
      <t>mployee</t>
    </r>
    <phoneticPr fontId="12" type="noConversion"/>
  </si>
  <si>
    <r>
      <t>e</t>
    </r>
    <r>
      <rPr>
        <sz val="11"/>
        <color theme="1"/>
        <rFont val="等线"/>
        <family val="3"/>
        <charset val="134"/>
        <scheme val="minor"/>
      </rPr>
      <t>mployer</t>
    </r>
    <phoneticPr fontId="12" type="noConversion"/>
  </si>
  <si>
    <r>
      <t>e</t>
    </r>
    <r>
      <rPr>
        <sz val="11"/>
        <color theme="1"/>
        <rFont val="等线"/>
        <family val="3"/>
        <charset val="134"/>
        <scheme val="minor"/>
      </rPr>
      <t>ncyclopedia</t>
    </r>
    <phoneticPr fontId="12" type="noConversion"/>
  </si>
  <si>
    <r>
      <t>e</t>
    </r>
    <r>
      <rPr>
        <sz val="11"/>
        <color theme="1"/>
        <rFont val="等线"/>
        <family val="3"/>
        <charset val="134"/>
        <scheme val="minor"/>
      </rPr>
      <t>nding</t>
    </r>
    <phoneticPr fontId="12" type="noConversion"/>
  </si>
  <si>
    <r>
      <t>e</t>
    </r>
    <r>
      <rPr>
        <sz val="11"/>
        <color theme="1"/>
        <rFont val="等线"/>
        <family val="3"/>
        <charset val="134"/>
        <scheme val="minor"/>
      </rPr>
      <t>nergies</t>
    </r>
    <phoneticPr fontId="12" type="noConversion"/>
  </si>
  <si>
    <r>
      <t>e</t>
    </r>
    <r>
      <rPr>
        <sz val="11"/>
        <color theme="1"/>
        <rFont val="等线"/>
        <family val="3"/>
        <charset val="134"/>
        <scheme val="minor"/>
      </rPr>
      <t>ngine</t>
    </r>
    <phoneticPr fontId="12" type="noConversion"/>
  </si>
  <si>
    <r>
      <t>e</t>
    </r>
    <r>
      <rPr>
        <sz val="11"/>
        <color theme="1"/>
        <rFont val="等线"/>
        <family val="3"/>
        <charset val="134"/>
        <scheme val="minor"/>
      </rPr>
      <t>ngineer</t>
    </r>
    <phoneticPr fontId="12" type="noConversion"/>
  </si>
  <si>
    <r>
      <t>e</t>
    </r>
    <r>
      <rPr>
        <sz val="11"/>
        <color theme="1"/>
        <rFont val="等线"/>
        <family val="3"/>
        <charset val="134"/>
        <scheme val="minor"/>
      </rPr>
      <t>ntrance</t>
    </r>
    <phoneticPr fontId="12" type="noConversion"/>
  </si>
  <si>
    <r>
      <t>e</t>
    </r>
    <r>
      <rPr>
        <sz val="11"/>
        <color theme="1"/>
        <rFont val="等线"/>
        <family val="3"/>
        <charset val="134"/>
        <scheme val="minor"/>
      </rPr>
      <t>padi</t>
    </r>
    <phoneticPr fontId="12" type="noConversion"/>
  </si>
  <si>
    <t>equipment</t>
    <phoneticPr fontId="12" type="noConversion"/>
  </si>
  <si>
    <r>
      <t>e</t>
    </r>
    <r>
      <rPr>
        <sz val="11"/>
        <color theme="1"/>
        <rFont val="等线"/>
        <family val="3"/>
        <charset val="134"/>
        <scheme val="minor"/>
      </rPr>
      <t>thic</t>
    </r>
    <phoneticPr fontId="12" type="noConversion"/>
  </si>
  <si>
    <r>
      <t>e</t>
    </r>
    <r>
      <rPr>
        <sz val="11"/>
        <color theme="1"/>
        <rFont val="等线"/>
        <family val="3"/>
        <charset val="134"/>
        <scheme val="minor"/>
      </rPr>
      <t>vening</t>
    </r>
    <phoneticPr fontId="12" type="noConversion"/>
  </si>
  <si>
    <r>
      <t>e</t>
    </r>
    <r>
      <rPr>
        <sz val="11"/>
        <color theme="1"/>
        <rFont val="等线"/>
        <family val="3"/>
        <charset val="134"/>
        <scheme val="minor"/>
      </rPr>
      <t>vents</t>
    </r>
    <phoneticPr fontId="12" type="noConversion"/>
  </si>
  <si>
    <r>
      <t>e</t>
    </r>
    <r>
      <rPr>
        <sz val="11"/>
        <color theme="1"/>
        <rFont val="等线"/>
        <family val="3"/>
        <charset val="134"/>
        <scheme val="minor"/>
      </rPr>
      <t>vidence</t>
    </r>
    <phoneticPr fontId="12" type="noConversion"/>
  </si>
  <si>
    <r>
      <t>e</t>
    </r>
    <r>
      <rPr>
        <sz val="11"/>
        <color theme="1"/>
        <rFont val="等线"/>
        <family val="3"/>
        <charset val="134"/>
        <scheme val="minor"/>
      </rPr>
      <t>xamiation</t>
    </r>
    <phoneticPr fontId="12" type="noConversion"/>
  </si>
  <si>
    <r>
      <t>e</t>
    </r>
    <r>
      <rPr>
        <sz val="11"/>
        <color theme="1"/>
        <rFont val="等线"/>
        <family val="3"/>
        <charset val="134"/>
        <scheme val="minor"/>
      </rPr>
      <t>xamption</t>
    </r>
    <phoneticPr fontId="12" type="noConversion"/>
  </si>
  <si>
    <r>
      <t>e</t>
    </r>
    <r>
      <rPr>
        <sz val="11"/>
        <color theme="1"/>
        <rFont val="等线"/>
        <family val="3"/>
        <charset val="134"/>
        <scheme val="minor"/>
      </rPr>
      <t>xcet</t>
    </r>
    <phoneticPr fontId="12" type="noConversion"/>
  </si>
  <si>
    <r>
      <t>e</t>
    </r>
    <r>
      <rPr>
        <sz val="11"/>
        <color theme="1"/>
        <rFont val="等线"/>
        <family val="3"/>
        <charset val="134"/>
        <scheme val="minor"/>
      </rPr>
      <t>xchange</t>
    </r>
    <phoneticPr fontId="12" type="noConversion"/>
  </si>
  <si>
    <r>
      <t>e</t>
    </r>
    <r>
      <rPr>
        <sz val="11"/>
        <color theme="1"/>
        <rFont val="等线"/>
        <family val="3"/>
        <charset val="134"/>
        <scheme val="minor"/>
      </rPr>
      <t>xcursion</t>
    </r>
    <phoneticPr fontId="12" type="noConversion"/>
  </si>
  <si>
    <r>
      <t>e</t>
    </r>
    <r>
      <rPr>
        <sz val="11"/>
        <color theme="1"/>
        <rFont val="等线"/>
        <family val="3"/>
        <charset val="134"/>
        <scheme val="minor"/>
      </rPr>
      <t>xcuse</t>
    </r>
    <phoneticPr fontId="12" type="noConversion"/>
  </si>
  <si>
    <r>
      <t>e</t>
    </r>
    <r>
      <rPr>
        <sz val="11"/>
        <color theme="1"/>
        <rFont val="等线"/>
        <family val="3"/>
        <charset val="134"/>
        <scheme val="minor"/>
      </rPr>
      <t>xercises</t>
    </r>
    <phoneticPr fontId="12" type="noConversion"/>
  </si>
  <si>
    <r>
      <t>e</t>
    </r>
    <r>
      <rPr>
        <sz val="11"/>
        <color theme="1"/>
        <rFont val="等线"/>
        <family val="3"/>
        <charset val="134"/>
        <scheme val="minor"/>
      </rPr>
      <t>xhibition</t>
    </r>
    <phoneticPr fontId="12" type="noConversion"/>
  </si>
  <si>
    <r>
      <t>e</t>
    </r>
    <r>
      <rPr>
        <sz val="11"/>
        <color theme="1"/>
        <rFont val="等线"/>
        <family val="3"/>
        <charset val="134"/>
        <scheme val="minor"/>
      </rPr>
      <t>xistance</t>
    </r>
    <phoneticPr fontId="12" type="noConversion"/>
  </si>
  <si>
    <r>
      <t>e</t>
    </r>
    <r>
      <rPr>
        <sz val="11"/>
        <color theme="1"/>
        <rFont val="等线"/>
        <family val="3"/>
        <charset val="134"/>
        <scheme val="minor"/>
      </rPr>
      <t>xistting</t>
    </r>
    <phoneticPr fontId="12" type="noConversion"/>
  </si>
  <si>
    <r>
      <t>e</t>
    </r>
    <r>
      <rPr>
        <sz val="11"/>
        <color theme="1"/>
        <rFont val="等线"/>
        <family val="3"/>
        <charset val="134"/>
        <scheme val="minor"/>
      </rPr>
      <t>xpansion</t>
    </r>
    <phoneticPr fontId="12" type="noConversion"/>
  </si>
  <si>
    <r>
      <t>e</t>
    </r>
    <r>
      <rPr>
        <sz val="11"/>
        <color theme="1"/>
        <rFont val="等线"/>
        <family val="3"/>
        <charset val="134"/>
        <scheme val="minor"/>
      </rPr>
      <t>xpense</t>
    </r>
    <phoneticPr fontId="12" type="noConversion"/>
  </si>
  <si>
    <r>
      <t>e</t>
    </r>
    <r>
      <rPr>
        <sz val="11"/>
        <color theme="1"/>
        <rFont val="等线"/>
        <family val="3"/>
        <charset val="134"/>
        <scheme val="minor"/>
      </rPr>
      <t>xperiment</t>
    </r>
    <phoneticPr fontId="12" type="noConversion"/>
  </si>
  <si>
    <r>
      <t>e</t>
    </r>
    <r>
      <rPr>
        <sz val="11"/>
        <color theme="1"/>
        <rFont val="等线"/>
        <family val="3"/>
        <charset val="134"/>
        <scheme val="minor"/>
      </rPr>
      <t>xpert</t>
    </r>
    <phoneticPr fontId="12" type="noConversion"/>
  </si>
  <si>
    <r>
      <t>e</t>
    </r>
    <r>
      <rPr>
        <sz val="11"/>
        <color theme="1"/>
        <rFont val="等线"/>
        <family val="3"/>
        <charset val="134"/>
        <scheme val="minor"/>
      </rPr>
      <t>xperation</t>
    </r>
    <phoneticPr fontId="12" type="noConversion"/>
  </si>
  <si>
    <r>
      <t>e</t>
    </r>
    <r>
      <rPr>
        <sz val="11"/>
        <color theme="1"/>
        <rFont val="等线"/>
        <family val="3"/>
        <charset val="134"/>
        <scheme val="minor"/>
      </rPr>
      <t>xposion</t>
    </r>
    <phoneticPr fontId="12" type="noConversion"/>
  </si>
  <si>
    <r>
      <t>e</t>
    </r>
    <r>
      <rPr>
        <sz val="11"/>
        <color theme="1"/>
        <rFont val="等线"/>
        <family val="3"/>
        <charset val="134"/>
        <scheme val="minor"/>
      </rPr>
      <t>xposition</t>
    </r>
    <phoneticPr fontId="12" type="noConversion"/>
  </si>
  <si>
    <r>
      <t>e</t>
    </r>
    <r>
      <rPr>
        <sz val="11"/>
        <color theme="1"/>
        <rFont val="等线"/>
        <family val="3"/>
        <charset val="134"/>
        <scheme val="minor"/>
      </rPr>
      <t>xposer</t>
    </r>
    <phoneticPr fontId="12" type="noConversion"/>
  </si>
  <si>
    <r>
      <t>e</t>
    </r>
    <r>
      <rPr>
        <sz val="11"/>
        <color theme="1"/>
        <rFont val="等线"/>
        <family val="3"/>
        <charset val="134"/>
        <scheme val="minor"/>
      </rPr>
      <t>xpanding</t>
    </r>
    <phoneticPr fontId="12" type="noConversion"/>
  </si>
  <si>
    <r>
      <t>f</t>
    </r>
    <r>
      <rPr>
        <sz val="11"/>
        <color theme="1"/>
        <rFont val="等线"/>
        <family val="3"/>
        <charset val="134"/>
        <scheme val="minor"/>
      </rPr>
      <t>acility</t>
    </r>
    <phoneticPr fontId="12" type="noConversion"/>
  </si>
  <si>
    <r>
      <t>f</t>
    </r>
    <r>
      <rPr>
        <sz val="11"/>
        <color theme="1"/>
        <rFont val="等线"/>
        <family val="3"/>
        <charset val="134"/>
        <scheme val="minor"/>
      </rPr>
      <t>actor</t>
    </r>
    <phoneticPr fontId="12" type="noConversion"/>
  </si>
  <si>
    <r>
      <t>f</t>
    </r>
    <r>
      <rPr>
        <sz val="11"/>
        <color theme="1"/>
        <rFont val="等线"/>
        <family val="3"/>
        <charset val="134"/>
        <scheme val="minor"/>
      </rPr>
      <t>actory</t>
    </r>
    <phoneticPr fontId="12" type="noConversion"/>
  </si>
  <si>
    <r>
      <t>f</t>
    </r>
    <r>
      <rPr>
        <sz val="11"/>
        <color theme="1"/>
        <rFont val="等线"/>
        <family val="3"/>
        <charset val="134"/>
        <scheme val="minor"/>
      </rPr>
      <t>ailure</t>
    </r>
    <phoneticPr fontId="12" type="noConversion"/>
  </si>
  <si>
    <r>
      <t>f</t>
    </r>
    <r>
      <rPr>
        <sz val="11"/>
        <color theme="1"/>
        <rFont val="等线"/>
        <family val="3"/>
        <charset val="134"/>
        <scheme val="minor"/>
      </rPr>
      <t>an</t>
    </r>
    <phoneticPr fontId="12" type="noConversion"/>
  </si>
  <si>
    <r>
      <t>f</t>
    </r>
    <r>
      <rPr>
        <sz val="11"/>
        <color theme="1"/>
        <rFont val="等线"/>
        <family val="3"/>
        <charset val="134"/>
        <scheme val="minor"/>
      </rPr>
      <t>air</t>
    </r>
    <phoneticPr fontId="12" type="noConversion"/>
  </si>
  <si>
    <r>
      <t>f</t>
    </r>
    <r>
      <rPr>
        <sz val="11"/>
        <color theme="1"/>
        <rFont val="等线"/>
        <family val="3"/>
        <charset val="134"/>
        <scheme val="minor"/>
      </rPr>
      <t>arm</t>
    </r>
    <phoneticPr fontId="12" type="noConversion"/>
  </si>
  <si>
    <r>
      <t>f</t>
    </r>
    <r>
      <rPr>
        <sz val="11"/>
        <color theme="1"/>
        <rFont val="等线"/>
        <family val="3"/>
        <charset val="134"/>
        <scheme val="minor"/>
      </rPr>
      <t>armer</t>
    </r>
    <phoneticPr fontId="12" type="noConversion"/>
  </si>
  <si>
    <r>
      <t>f</t>
    </r>
    <r>
      <rPr>
        <sz val="11"/>
        <color theme="1"/>
        <rFont val="等线"/>
        <family val="3"/>
        <charset val="134"/>
        <scheme val="minor"/>
      </rPr>
      <t>arming</t>
    </r>
    <phoneticPr fontId="12" type="noConversion"/>
  </si>
  <si>
    <r>
      <t>f</t>
    </r>
    <r>
      <rPr>
        <sz val="11"/>
        <color theme="1"/>
        <rFont val="等线"/>
        <family val="3"/>
        <charset val="134"/>
        <scheme val="minor"/>
      </rPr>
      <t>ashion</t>
    </r>
    <phoneticPr fontId="12" type="noConversion"/>
  </si>
  <si>
    <r>
      <t>f</t>
    </r>
    <r>
      <rPr>
        <sz val="11"/>
        <color theme="1"/>
        <rFont val="等线"/>
        <family val="3"/>
        <charset val="134"/>
        <scheme val="minor"/>
      </rPr>
      <t>at</t>
    </r>
    <phoneticPr fontId="12" type="noConversion"/>
  </si>
  <si>
    <r>
      <t>f</t>
    </r>
    <r>
      <rPr>
        <sz val="11"/>
        <color theme="1"/>
        <rFont val="等线"/>
        <family val="3"/>
        <charset val="134"/>
        <scheme val="minor"/>
      </rPr>
      <t>eat</t>
    </r>
    <phoneticPr fontId="12" type="noConversion"/>
  </si>
  <si>
    <r>
      <t>f</t>
    </r>
    <r>
      <rPr>
        <sz val="11"/>
        <color theme="1"/>
        <rFont val="等线"/>
        <family val="3"/>
        <charset val="134"/>
        <scheme val="minor"/>
      </rPr>
      <t>eather</t>
    </r>
    <phoneticPr fontId="12" type="noConversion"/>
  </si>
  <si>
    <r>
      <t>f</t>
    </r>
    <r>
      <rPr>
        <sz val="11"/>
        <color theme="1"/>
        <rFont val="等线"/>
        <family val="3"/>
        <charset val="134"/>
        <scheme val="minor"/>
      </rPr>
      <t>eature</t>
    </r>
    <phoneticPr fontId="12" type="noConversion"/>
  </si>
  <si>
    <r>
      <t>f</t>
    </r>
    <r>
      <rPr>
        <sz val="11"/>
        <color theme="1"/>
        <rFont val="等线"/>
        <family val="3"/>
        <charset val="134"/>
        <scheme val="minor"/>
      </rPr>
      <t>eedback</t>
    </r>
    <phoneticPr fontId="12" type="noConversion"/>
  </si>
  <si>
    <r>
      <t>f</t>
    </r>
    <r>
      <rPr>
        <sz val="11"/>
        <color theme="1"/>
        <rFont val="等线"/>
        <family val="3"/>
        <charset val="134"/>
        <scheme val="minor"/>
      </rPr>
      <t>ellowship</t>
    </r>
    <phoneticPr fontId="12" type="noConversion"/>
  </si>
  <si>
    <r>
      <t>f</t>
    </r>
    <r>
      <rPr>
        <sz val="11"/>
        <color theme="1"/>
        <rFont val="等线"/>
        <family val="3"/>
        <charset val="134"/>
        <scheme val="minor"/>
      </rPr>
      <t>emale</t>
    </r>
    <phoneticPr fontId="12" type="noConversion"/>
  </si>
  <si>
    <r>
      <t>f</t>
    </r>
    <r>
      <rPr>
        <sz val="11"/>
        <color theme="1"/>
        <rFont val="等线"/>
        <family val="3"/>
        <charset val="134"/>
        <scheme val="minor"/>
      </rPr>
      <t>erries</t>
    </r>
    <phoneticPr fontId="12" type="noConversion"/>
  </si>
  <si>
    <r>
      <t>f</t>
    </r>
    <r>
      <rPr>
        <sz val="11"/>
        <color theme="1"/>
        <rFont val="等线"/>
        <family val="3"/>
        <charset val="134"/>
        <scheme val="minor"/>
      </rPr>
      <t>estival</t>
    </r>
    <phoneticPr fontId="12" type="noConversion"/>
  </si>
  <si>
    <r>
      <t>f</t>
    </r>
    <r>
      <rPr>
        <sz val="11"/>
        <color theme="1"/>
        <rFont val="等线"/>
        <family val="3"/>
        <charset val="134"/>
        <scheme val="minor"/>
      </rPr>
      <t>ield</t>
    </r>
    <phoneticPr fontId="12" type="noConversion"/>
  </si>
  <si>
    <r>
      <t>f</t>
    </r>
    <r>
      <rPr>
        <sz val="11"/>
        <color theme="1"/>
        <rFont val="等线"/>
        <family val="3"/>
        <charset val="134"/>
        <scheme val="minor"/>
      </rPr>
      <t>igure</t>
    </r>
    <phoneticPr fontId="12" type="noConversion"/>
  </si>
  <si>
    <t>film</t>
    <phoneticPr fontId="12" type="noConversion"/>
  </si>
  <si>
    <r>
      <t>f</t>
    </r>
    <r>
      <rPr>
        <sz val="11"/>
        <color theme="1"/>
        <rFont val="等线"/>
        <family val="3"/>
        <charset val="134"/>
        <scheme val="minor"/>
      </rPr>
      <t>inding</t>
    </r>
    <phoneticPr fontId="12" type="noConversion"/>
  </si>
  <si>
    <r>
      <t>f</t>
    </r>
    <r>
      <rPr>
        <sz val="11"/>
        <color theme="1"/>
        <rFont val="等线"/>
        <family val="3"/>
        <charset val="134"/>
        <scheme val="minor"/>
      </rPr>
      <t>inger</t>
    </r>
    <phoneticPr fontId="12" type="noConversion"/>
  </si>
  <si>
    <r>
      <t>f</t>
    </r>
    <r>
      <rPr>
        <sz val="11"/>
        <color theme="1"/>
        <rFont val="等线"/>
        <family val="3"/>
        <charset val="134"/>
        <scheme val="minor"/>
      </rPr>
      <t>irm</t>
    </r>
    <phoneticPr fontId="12" type="noConversion"/>
  </si>
  <si>
    <r>
      <t>f</t>
    </r>
    <r>
      <rPr>
        <sz val="11"/>
        <color theme="1"/>
        <rFont val="等线"/>
        <family val="3"/>
        <charset val="134"/>
        <scheme val="minor"/>
      </rPr>
      <t>ish</t>
    </r>
    <phoneticPr fontId="12" type="noConversion"/>
  </si>
  <si>
    <r>
      <t>f</t>
    </r>
    <r>
      <rPr>
        <sz val="11"/>
        <color theme="1"/>
        <rFont val="等线"/>
        <family val="3"/>
        <charset val="134"/>
        <scheme val="minor"/>
      </rPr>
      <t>ishing</t>
    </r>
    <phoneticPr fontId="12" type="noConversion"/>
  </si>
  <si>
    <r>
      <t>f</t>
    </r>
    <r>
      <rPr>
        <sz val="11"/>
        <color theme="1"/>
        <rFont val="等线"/>
        <family val="3"/>
        <charset val="134"/>
        <scheme val="minor"/>
      </rPr>
      <t>lag</t>
    </r>
    <phoneticPr fontId="12" type="noConversion"/>
  </si>
  <si>
    <r>
      <t>f</t>
    </r>
    <r>
      <rPr>
        <sz val="11"/>
        <color theme="1"/>
        <rFont val="等线"/>
        <family val="3"/>
        <charset val="134"/>
        <scheme val="minor"/>
      </rPr>
      <t>lash</t>
    </r>
    <phoneticPr fontId="12" type="noConversion"/>
  </si>
  <si>
    <t>flat</t>
    <phoneticPr fontId="12" type="noConversion"/>
  </si>
  <si>
    <r>
      <t>f</t>
    </r>
    <r>
      <rPr>
        <sz val="11"/>
        <color theme="1"/>
        <rFont val="等线"/>
        <family val="3"/>
        <charset val="134"/>
        <scheme val="minor"/>
      </rPr>
      <t>light</t>
    </r>
    <phoneticPr fontId="12" type="noConversion"/>
  </si>
  <si>
    <r>
      <t>f</t>
    </r>
    <r>
      <rPr>
        <sz val="11"/>
        <color theme="1"/>
        <rFont val="等线"/>
        <family val="3"/>
        <charset val="134"/>
        <scheme val="minor"/>
      </rPr>
      <t>lood</t>
    </r>
    <phoneticPr fontId="12" type="noConversion"/>
  </si>
  <si>
    <r>
      <t>f</t>
    </r>
    <r>
      <rPr>
        <sz val="11"/>
        <color theme="1"/>
        <rFont val="等线"/>
        <family val="3"/>
        <charset val="134"/>
        <scheme val="minor"/>
      </rPr>
      <t>looding</t>
    </r>
    <phoneticPr fontId="12" type="noConversion"/>
  </si>
  <si>
    <r>
      <t>f</t>
    </r>
    <r>
      <rPr>
        <sz val="11"/>
        <color theme="1"/>
        <rFont val="等线"/>
        <family val="3"/>
        <charset val="134"/>
        <scheme val="minor"/>
      </rPr>
      <t>lower</t>
    </r>
    <phoneticPr fontId="12" type="noConversion"/>
  </si>
  <si>
    <r>
      <t>f</t>
    </r>
    <r>
      <rPr>
        <sz val="11"/>
        <color theme="1"/>
        <rFont val="等线"/>
        <family val="3"/>
        <charset val="134"/>
        <scheme val="minor"/>
      </rPr>
      <t>lourish</t>
    </r>
    <phoneticPr fontId="12" type="noConversion"/>
  </si>
  <si>
    <t>flow</t>
    <phoneticPr fontId="12" type="noConversion"/>
  </si>
  <si>
    <r>
      <t>f</t>
    </r>
    <r>
      <rPr>
        <sz val="11"/>
        <color theme="1"/>
        <rFont val="等线"/>
        <family val="3"/>
        <charset val="134"/>
        <scheme val="minor"/>
      </rPr>
      <t>lu</t>
    </r>
    <phoneticPr fontId="12" type="noConversion"/>
  </si>
  <si>
    <r>
      <t>f</t>
    </r>
    <r>
      <rPr>
        <sz val="11"/>
        <color theme="1"/>
        <rFont val="等线"/>
        <family val="3"/>
        <charset val="134"/>
        <scheme val="minor"/>
      </rPr>
      <t>ly</t>
    </r>
    <phoneticPr fontId="12" type="noConversion"/>
  </si>
  <si>
    <r>
      <t>f</t>
    </r>
    <r>
      <rPr>
        <sz val="11"/>
        <color theme="1"/>
        <rFont val="等线"/>
        <family val="3"/>
        <charset val="134"/>
        <scheme val="minor"/>
      </rPr>
      <t>orest</t>
    </r>
    <phoneticPr fontId="12" type="noConversion"/>
  </si>
  <si>
    <r>
      <t>f</t>
    </r>
    <r>
      <rPr>
        <sz val="11"/>
        <color theme="1"/>
        <rFont val="等线"/>
        <family val="3"/>
        <charset val="134"/>
        <scheme val="minor"/>
      </rPr>
      <t>orestry</t>
    </r>
    <phoneticPr fontId="12" type="noConversion"/>
  </si>
  <si>
    <r>
      <t>f</t>
    </r>
    <r>
      <rPr>
        <sz val="11"/>
        <color theme="1"/>
        <rFont val="等线"/>
        <family val="3"/>
        <charset val="134"/>
        <scheme val="minor"/>
      </rPr>
      <t>orm</t>
    </r>
    <phoneticPr fontId="12" type="noConversion"/>
  </si>
  <si>
    <r>
      <t>f</t>
    </r>
    <r>
      <rPr>
        <sz val="11"/>
        <color theme="1"/>
        <rFont val="等线"/>
        <family val="3"/>
        <charset val="134"/>
        <scheme val="minor"/>
      </rPr>
      <t>ormula</t>
    </r>
    <phoneticPr fontId="12" type="noConversion"/>
  </si>
  <si>
    <r>
      <t>f</t>
    </r>
    <r>
      <rPr>
        <sz val="11"/>
        <color theme="1"/>
        <rFont val="等线"/>
        <family val="3"/>
        <charset val="134"/>
        <scheme val="minor"/>
      </rPr>
      <t>ortnight</t>
    </r>
    <phoneticPr fontId="12" type="noConversion"/>
  </si>
  <si>
    <r>
      <t>f</t>
    </r>
    <r>
      <rPr>
        <sz val="11"/>
        <color theme="1"/>
        <rFont val="等线"/>
        <family val="3"/>
        <charset val="134"/>
        <scheme val="minor"/>
      </rPr>
      <t>ortune</t>
    </r>
    <phoneticPr fontId="12" type="noConversion"/>
  </si>
  <si>
    <r>
      <t>f</t>
    </r>
    <r>
      <rPr>
        <sz val="11"/>
        <color theme="1"/>
        <rFont val="等线"/>
        <family val="3"/>
        <charset val="134"/>
        <scheme val="minor"/>
      </rPr>
      <t>oyer</t>
    </r>
    <phoneticPr fontId="12" type="noConversion"/>
  </si>
  <si>
    <r>
      <t>f</t>
    </r>
    <r>
      <rPr>
        <sz val="11"/>
        <color theme="1"/>
        <rFont val="等线"/>
        <family val="3"/>
        <charset val="134"/>
        <scheme val="minor"/>
      </rPr>
      <t>reedom</t>
    </r>
    <phoneticPr fontId="12" type="noConversion"/>
  </si>
  <si>
    <r>
      <t>f</t>
    </r>
    <r>
      <rPr>
        <sz val="11"/>
        <color theme="1"/>
        <rFont val="等线"/>
        <family val="3"/>
        <charset val="134"/>
        <scheme val="minor"/>
      </rPr>
      <t>reezer</t>
    </r>
    <phoneticPr fontId="12" type="noConversion"/>
  </si>
  <si>
    <t>freshman</t>
    <phoneticPr fontId="12" type="noConversion"/>
  </si>
  <si>
    <r>
      <t>f</t>
    </r>
    <r>
      <rPr>
        <sz val="11"/>
        <color theme="1"/>
        <rFont val="等线"/>
        <family val="3"/>
        <charset val="134"/>
        <scheme val="minor"/>
      </rPr>
      <t>ruit</t>
    </r>
    <phoneticPr fontId="12" type="noConversion"/>
  </si>
  <si>
    <r>
      <t>f</t>
    </r>
    <r>
      <rPr>
        <sz val="11"/>
        <color theme="1"/>
        <rFont val="等线"/>
        <family val="3"/>
        <charset val="134"/>
        <scheme val="minor"/>
      </rPr>
      <t>ur</t>
    </r>
    <phoneticPr fontId="12" type="noConversion"/>
  </si>
  <si>
    <r>
      <t>f</t>
    </r>
    <r>
      <rPr>
        <sz val="11"/>
        <color theme="1"/>
        <rFont val="等线"/>
        <family val="3"/>
        <charset val="134"/>
        <scheme val="minor"/>
      </rPr>
      <t>urniture</t>
    </r>
    <phoneticPr fontId="12" type="noConversion"/>
  </si>
  <si>
    <r>
      <t>f</t>
    </r>
    <r>
      <rPr>
        <sz val="11"/>
        <color theme="1"/>
        <rFont val="等线"/>
        <family val="3"/>
        <charset val="134"/>
        <scheme val="minor"/>
      </rPr>
      <t>uture</t>
    </r>
    <phoneticPr fontId="12" type="noConversion"/>
  </si>
  <si>
    <r>
      <t>g</t>
    </r>
    <r>
      <rPr>
        <sz val="11"/>
        <color theme="1"/>
        <rFont val="等线"/>
        <family val="3"/>
        <charset val="134"/>
        <scheme val="minor"/>
      </rPr>
      <t>alary</t>
    </r>
    <phoneticPr fontId="12" type="noConversion"/>
  </si>
  <si>
    <r>
      <t>g</t>
    </r>
    <r>
      <rPr>
        <sz val="11"/>
        <color theme="1"/>
        <rFont val="等线"/>
        <family val="3"/>
        <charset val="134"/>
        <scheme val="minor"/>
      </rPr>
      <t>ap</t>
    </r>
    <phoneticPr fontId="12" type="noConversion"/>
  </si>
  <si>
    <r>
      <t>g</t>
    </r>
    <r>
      <rPr>
        <sz val="11"/>
        <color theme="1"/>
        <rFont val="等线"/>
        <family val="3"/>
        <charset val="134"/>
        <scheme val="minor"/>
      </rPr>
      <t>arage</t>
    </r>
    <phoneticPr fontId="12" type="noConversion"/>
  </si>
  <si>
    <r>
      <t>g</t>
    </r>
    <r>
      <rPr>
        <sz val="11"/>
        <color theme="1"/>
        <rFont val="等线"/>
        <family val="3"/>
        <charset val="134"/>
        <scheme val="minor"/>
      </rPr>
      <t>arbage</t>
    </r>
    <phoneticPr fontId="12" type="noConversion"/>
  </si>
  <si>
    <r>
      <t>g</t>
    </r>
    <r>
      <rPr>
        <sz val="11"/>
        <color theme="1"/>
        <rFont val="等线"/>
        <family val="3"/>
        <charset val="134"/>
        <scheme val="minor"/>
      </rPr>
      <t>arden</t>
    </r>
    <phoneticPr fontId="12" type="noConversion"/>
  </si>
  <si>
    <r>
      <t>g</t>
    </r>
    <r>
      <rPr>
        <sz val="11"/>
        <color theme="1"/>
        <rFont val="等线"/>
        <family val="3"/>
        <charset val="134"/>
        <scheme val="minor"/>
      </rPr>
      <t>ender</t>
    </r>
    <phoneticPr fontId="12" type="noConversion"/>
  </si>
  <si>
    <r>
      <t>g</t>
    </r>
    <r>
      <rPr>
        <sz val="11"/>
        <color theme="1"/>
        <rFont val="等线"/>
        <family val="3"/>
        <charset val="134"/>
        <scheme val="minor"/>
      </rPr>
      <t>erm</t>
    </r>
    <phoneticPr fontId="12" type="noConversion"/>
  </si>
  <si>
    <r>
      <t>g</t>
    </r>
    <r>
      <rPr>
        <sz val="11"/>
        <color theme="1"/>
        <rFont val="等线"/>
        <family val="3"/>
        <charset val="134"/>
        <scheme val="minor"/>
      </rPr>
      <t>esture</t>
    </r>
    <phoneticPr fontId="12" type="noConversion"/>
  </si>
  <si>
    <r>
      <t>g</t>
    </r>
    <r>
      <rPr>
        <sz val="11"/>
        <color theme="1"/>
        <rFont val="等线"/>
        <family val="3"/>
        <charset val="134"/>
        <scheme val="minor"/>
      </rPr>
      <t>lass</t>
    </r>
    <phoneticPr fontId="12" type="noConversion"/>
  </si>
  <si>
    <r>
      <t>g</t>
    </r>
    <r>
      <rPr>
        <sz val="11"/>
        <color theme="1"/>
        <rFont val="等线"/>
        <family val="3"/>
        <charset val="134"/>
        <scheme val="minor"/>
      </rPr>
      <t>oal</t>
    </r>
    <phoneticPr fontId="12" type="noConversion"/>
  </si>
  <si>
    <r>
      <t>g</t>
    </r>
    <r>
      <rPr>
        <sz val="11"/>
        <color theme="1"/>
        <rFont val="等线"/>
        <family val="3"/>
        <charset val="134"/>
        <scheme val="minor"/>
      </rPr>
      <t>oat</t>
    </r>
    <phoneticPr fontId="12" type="noConversion"/>
  </si>
  <si>
    <r>
      <t>g</t>
    </r>
    <r>
      <rPr>
        <sz val="11"/>
        <color theme="1"/>
        <rFont val="等线"/>
        <family val="3"/>
        <charset val="134"/>
        <scheme val="minor"/>
      </rPr>
      <t>olf</t>
    </r>
    <phoneticPr fontId="12" type="noConversion"/>
  </si>
  <si>
    <r>
      <t>g</t>
    </r>
    <r>
      <rPr>
        <sz val="11"/>
        <color theme="1"/>
        <rFont val="等线"/>
        <family val="3"/>
        <charset val="134"/>
        <scheme val="minor"/>
      </rPr>
      <t>rade</t>
    </r>
    <phoneticPr fontId="12" type="noConversion"/>
  </si>
  <si>
    <r>
      <t>g</t>
    </r>
    <r>
      <rPr>
        <sz val="11"/>
        <color theme="1"/>
        <rFont val="等线"/>
        <family val="3"/>
        <charset val="134"/>
        <scheme val="minor"/>
      </rPr>
      <t>rape</t>
    </r>
    <phoneticPr fontId="12" type="noConversion"/>
  </si>
  <si>
    <r>
      <t>g</t>
    </r>
    <r>
      <rPr>
        <sz val="11"/>
        <color theme="1"/>
        <rFont val="等线"/>
        <family val="3"/>
        <charset val="134"/>
        <scheme val="minor"/>
      </rPr>
      <t>raduate</t>
    </r>
    <phoneticPr fontId="12" type="noConversion"/>
  </si>
  <si>
    <r>
      <t>g</t>
    </r>
    <r>
      <rPr>
        <sz val="11"/>
        <color theme="1"/>
        <rFont val="等线"/>
        <family val="3"/>
        <charset val="134"/>
        <scheme val="minor"/>
      </rPr>
      <t>raduates</t>
    </r>
    <phoneticPr fontId="12" type="noConversion"/>
  </si>
  <si>
    <r>
      <t>g</t>
    </r>
    <r>
      <rPr>
        <sz val="11"/>
        <color theme="1"/>
        <rFont val="等线"/>
        <family val="3"/>
        <charset val="134"/>
        <scheme val="minor"/>
      </rPr>
      <t>reen</t>
    </r>
    <phoneticPr fontId="12" type="noConversion"/>
  </si>
  <si>
    <r>
      <t>g</t>
    </r>
    <r>
      <rPr>
        <sz val="11"/>
        <color theme="1"/>
        <rFont val="等线"/>
        <family val="3"/>
        <charset val="134"/>
        <scheme val="minor"/>
      </rPr>
      <t>rass</t>
    </r>
    <phoneticPr fontId="12" type="noConversion"/>
  </si>
  <si>
    <r>
      <t>g</t>
    </r>
    <r>
      <rPr>
        <sz val="11"/>
        <color theme="1"/>
        <rFont val="等线"/>
        <family val="3"/>
        <charset val="134"/>
        <scheme val="minor"/>
      </rPr>
      <t>round</t>
    </r>
    <phoneticPr fontId="12" type="noConversion"/>
  </si>
  <si>
    <r>
      <t>g</t>
    </r>
    <r>
      <rPr>
        <sz val="11"/>
        <color theme="1"/>
        <rFont val="等线"/>
        <family val="3"/>
        <charset val="134"/>
        <scheme val="minor"/>
      </rPr>
      <t>roup</t>
    </r>
    <phoneticPr fontId="12" type="noConversion"/>
  </si>
  <si>
    <r>
      <t>g</t>
    </r>
    <r>
      <rPr>
        <sz val="11"/>
        <color theme="1"/>
        <rFont val="等线"/>
        <family val="3"/>
        <charset val="134"/>
        <scheme val="minor"/>
      </rPr>
      <t>rowth</t>
    </r>
    <phoneticPr fontId="12" type="noConversion"/>
  </si>
  <si>
    <r>
      <t>g</t>
    </r>
    <r>
      <rPr>
        <sz val="11"/>
        <color theme="1"/>
        <rFont val="等线"/>
        <family val="3"/>
        <charset val="134"/>
        <scheme val="minor"/>
      </rPr>
      <t>uest</t>
    </r>
    <phoneticPr fontId="12" type="noConversion"/>
  </si>
  <si>
    <r>
      <t>g</t>
    </r>
    <r>
      <rPr>
        <sz val="11"/>
        <color theme="1"/>
        <rFont val="等线"/>
        <family val="3"/>
        <charset val="134"/>
        <scheme val="minor"/>
      </rPr>
      <t>uide</t>
    </r>
    <phoneticPr fontId="12" type="noConversion"/>
  </si>
  <si>
    <r>
      <t>g</t>
    </r>
    <r>
      <rPr>
        <sz val="11"/>
        <color theme="1"/>
        <rFont val="等线"/>
        <family val="3"/>
        <charset val="134"/>
        <scheme val="minor"/>
      </rPr>
      <t>ulf</t>
    </r>
    <phoneticPr fontId="12" type="noConversion"/>
  </si>
  <si>
    <r>
      <t>g</t>
    </r>
    <r>
      <rPr>
        <sz val="11"/>
        <color theme="1"/>
        <rFont val="等线"/>
        <family val="3"/>
        <charset val="134"/>
        <scheme val="minor"/>
      </rPr>
      <t>uy</t>
    </r>
    <phoneticPr fontId="12" type="noConversion"/>
  </si>
  <si>
    <r>
      <t>g</t>
    </r>
    <r>
      <rPr>
        <sz val="11"/>
        <color theme="1"/>
        <rFont val="等线"/>
        <family val="3"/>
        <charset val="134"/>
        <scheme val="minor"/>
      </rPr>
      <t>ym</t>
    </r>
    <phoneticPr fontId="12" type="noConversion"/>
  </si>
  <si>
    <r>
      <t>h</t>
    </r>
    <r>
      <rPr>
        <sz val="11"/>
        <color theme="1"/>
        <rFont val="等线"/>
        <family val="3"/>
        <charset val="134"/>
        <scheme val="minor"/>
      </rPr>
      <t>abit</t>
    </r>
    <phoneticPr fontId="12" type="noConversion"/>
  </si>
  <si>
    <r>
      <t>h</t>
    </r>
    <r>
      <rPr>
        <sz val="11"/>
        <color theme="1"/>
        <rFont val="等线"/>
        <family val="3"/>
        <charset val="134"/>
        <scheme val="minor"/>
      </rPr>
      <t>and</t>
    </r>
    <phoneticPr fontId="12" type="noConversion"/>
  </si>
  <si>
    <r>
      <t>h</t>
    </r>
    <r>
      <rPr>
        <sz val="11"/>
        <color theme="1"/>
        <rFont val="等线"/>
        <family val="3"/>
        <charset val="134"/>
        <scheme val="minor"/>
      </rPr>
      <t>andball</t>
    </r>
    <phoneticPr fontId="12" type="noConversion"/>
  </si>
  <si>
    <r>
      <t>h</t>
    </r>
    <r>
      <rPr>
        <sz val="11"/>
        <color theme="1"/>
        <rFont val="等线"/>
        <family val="3"/>
        <charset val="134"/>
        <scheme val="minor"/>
      </rPr>
      <t>andbooks</t>
    </r>
    <phoneticPr fontId="12" type="noConversion"/>
  </si>
  <si>
    <r>
      <t>h</t>
    </r>
    <r>
      <rPr>
        <sz val="11"/>
        <color theme="1"/>
        <rFont val="等线"/>
        <family val="3"/>
        <charset val="134"/>
        <scheme val="minor"/>
      </rPr>
      <t>andling</t>
    </r>
    <phoneticPr fontId="12" type="noConversion"/>
  </si>
  <si>
    <r>
      <t>h</t>
    </r>
    <r>
      <rPr>
        <sz val="11"/>
        <color theme="1"/>
        <rFont val="等线"/>
        <family val="3"/>
        <charset val="134"/>
        <scheme val="minor"/>
      </rPr>
      <t>andout</t>
    </r>
    <phoneticPr fontId="12" type="noConversion"/>
  </si>
  <si>
    <r>
      <t>h</t>
    </r>
    <r>
      <rPr>
        <sz val="11"/>
        <color theme="1"/>
        <rFont val="等线"/>
        <family val="3"/>
        <charset val="134"/>
        <scheme val="minor"/>
      </rPr>
      <t>at</t>
    </r>
    <phoneticPr fontId="12" type="noConversion"/>
  </si>
  <si>
    <r>
      <t>h</t>
    </r>
    <r>
      <rPr>
        <sz val="11"/>
        <color theme="1"/>
        <rFont val="等线"/>
        <family val="3"/>
        <charset val="134"/>
        <scheme val="minor"/>
      </rPr>
      <t>eadache</t>
    </r>
    <phoneticPr fontId="12" type="noConversion"/>
  </si>
  <si>
    <r>
      <t>h</t>
    </r>
    <r>
      <rPr>
        <sz val="11"/>
        <color theme="1"/>
        <rFont val="等线"/>
        <family val="3"/>
        <charset val="134"/>
        <scheme val="minor"/>
      </rPr>
      <t>eading</t>
    </r>
    <phoneticPr fontId="12" type="noConversion"/>
  </si>
  <si>
    <r>
      <t>h</t>
    </r>
    <r>
      <rPr>
        <sz val="11"/>
        <color theme="1"/>
        <rFont val="等线"/>
        <family val="3"/>
        <charset val="134"/>
        <scheme val="minor"/>
      </rPr>
      <t>ealth</t>
    </r>
    <phoneticPr fontId="12" type="noConversion"/>
  </si>
  <si>
    <r>
      <t>h</t>
    </r>
    <r>
      <rPr>
        <sz val="11"/>
        <color theme="1"/>
        <rFont val="等线"/>
        <family val="3"/>
        <charset val="134"/>
        <scheme val="minor"/>
      </rPr>
      <t>earing</t>
    </r>
    <phoneticPr fontId="12" type="noConversion"/>
  </si>
  <si>
    <r>
      <t>h</t>
    </r>
    <r>
      <rPr>
        <sz val="11"/>
        <color theme="1"/>
        <rFont val="等线"/>
        <family val="3"/>
        <charset val="134"/>
        <scheme val="minor"/>
      </rPr>
      <t>ard</t>
    </r>
    <phoneticPr fontId="12" type="noConversion"/>
  </si>
  <si>
    <r>
      <t>h</t>
    </r>
    <r>
      <rPr>
        <sz val="11"/>
        <color theme="1"/>
        <rFont val="等线"/>
        <family val="3"/>
        <charset val="134"/>
        <scheme val="minor"/>
      </rPr>
      <t>eating</t>
    </r>
    <phoneticPr fontId="12" type="noConversion"/>
  </si>
  <si>
    <r>
      <t>h</t>
    </r>
    <r>
      <rPr>
        <sz val="11"/>
        <color theme="1"/>
        <rFont val="等线"/>
        <family val="3"/>
        <charset val="134"/>
        <scheme val="minor"/>
      </rPr>
      <t>en</t>
    </r>
    <phoneticPr fontId="12" type="noConversion"/>
  </si>
  <si>
    <r>
      <t>h</t>
    </r>
    <r>
      <rPr>
        <sz val="11"/>
        <color theme="1"/>
        <rFont val="等线"/>
        <family val="3"/>
        <charset val="134"/>
        <scheme val="minor"/>
      </rPr>
      <t>erb</t>
    </r>
    <phoneticPr fontId="12" type="noConversion"/>
  </si>
  <si>
    <r>
      <t>h</t>
    </r>
    <r>
      <rPr>
        <sz val="11"/>
        <color theme="1"/>
        <rFont val="等线"/>
        <family val="3"/>
        <charset val="134"/>
        <scheme val="minor"/>
      </rPr>
      <t>ero</t>
    </r>
    <phoneticPr fontId="12" type="noConversion"/>
  </si>
  <si>
    <r>
      <t>h</t>
    </r>
    <r>
      <rPr>
        <sz val="11"/>
        <color theme="1"/>
        <rFont val="等线"/>
        <family val="3"/>
        <charset val="134"/>
        <scheme val="minor"/>
      </rPr>
      <t>eroes</t>
    </r>
    <phoneticPr fontId="12" type="noConversion"/>
  </si>
  <si>
    <r>
      <t>h</t>
    </r>
    <r>
      <rPr>
        <sz val="11"/>
        <color theme="1"/>
        <rFont val="等线"/>
        <family val="3"/>
        <charset val="134"/>
        <scheme val="minor"/>
      </rPr>
      <t>eroian</t>
    </r>
    <phoneticPr fontId="12" type="noConversion"/>
  </si>
  <si>
    <r>
      <t>h</t>
    </r>
    <r>
      <rPr>
        <sz val="11"/>
        <color theme="1"/>
        <rFont val="等线"/>
        <family val="3"/>
        <charset val="134"/>
        <scheme val="minor"/>
      </rPr>
      <t>ike</t>
    </r>
    <phoneticPr fontId="12" type="noConversion"/>
  </si>
  <si>
    <r>
      <t>h</t>
    </r>
    <r>
      <rPr>
        <sz val="11"/>
        <color theme="1"/>
        <rFont val="等线"/>
        <family val="3"/>
        <charset val="134"/>
        <scheme val="minor"/>
      </rPr>
      <t>iking</t>
    </r>
    <phoneticPr fontId="12" type="noConversion"/>
  </si>
  <si>
    <r>
      <t>h</t>
    </r>
    <r>
      <rPr>
        <sz val="11"/>
        <color theme="1"/>
        <rFont val="等线"/>
        <family val="3"/>
        <charset val="134"/>
        <scheme val="minor"/>
      </rPr>
      <t>int</t>
    </r>
    <phoneticPr fontId="12" type="noConversion"/>
  </si>
  <si>
    <r>
      <t>h</t>
    </r>
    <r>
      <rPr>
        <sz val="11"/>
        <color theme="1"/>
        <rFont val="等线"/>
        <family val="3"/>
        <charset val="134"/>
        <scheme val="minor"/>
      </rPr>
      <t>ints</t>
    </r>
    <phoneticPr fontId="12" type="noConversion"/>
  </si>
  <si>
    <r>
      <t>h</t>
    </r>
    <r>
      <rPr>
        <sz val="11"/>
        <color theme="1"/>
        <rFont val="等线"/>
        <family val="3"/>
        <charset val="134"/>
        <scheme val="minor"/>
      </rPr>
      <t>istorian</t>
    </r>
    <phoneticPr fontId="12" type="noConversion"/>
  </si>
  <si>
    <r>
      <t>h</t>
    </r>
    <r>
      <rPr>
        <sz val="11"/>
        <color theme="1"/>
        <rFont val="等线"/>
        <family val="3"/>
        <charset val="134"/>
        <scheme val="minor"/>
      </rPr>
      <t>it</t>
    </r>
    <phoneticPr fontId="12" type="noConversion"/>
  </si>
  <si>
    <r>
      <t>h</t>
    </r>
    <r>
      <rPr>
        <sz val="11"/>
        <color theme="1"/>
        <rFont val="等线"/>
        <family val="3"/>
        <charset val="134"/>
        <scheme val="minor"/>
      </rPr>
      <t>its</t>
    </r>
    <phoneticPr fontId="12" type="noConversion"/>
  </si>
  <si>
    <r>
      <t>h</t>
    </r>
    <r>
      <rPr>
        <sz val="11"/>
        <color theme="1"/>
        <rFont val="等线"/>
        <family val="3"/>
        <charset val="134"/>
        <scheme val="minor"/>
      </rPr>
      <t>obby</t>
    </r>
    <phoneticPr fontId="12" type="noConversion"/>
  </si>
  <si>
    <r>
      <t>h</t>
    </r>
    <r>
      <rPr>
        <sz val="11"/>
        <color theme="1"/>
        <rFont val="等线"/>
        <family val="3"/>
        <charset val="134"/>
        <scheme val="minor"/>
      </rPr>
      <t>oliday</t>
    </r>
    <phoneticPr fontId="12" type="noConversion"/>
  </si>
  <si>
    <t>horse</t>
    <phoneticPr fontId="12" type="noConversion"/>
  </si>
  <si>
    <t>hospital</t>
    <phoneticPr fontId="12" type="noConversion"/>
  </si>
  <si>
    <r>
      <t>h</t>
    </r>
    <r>
      <rPr>
        <sz val="11"/>
        <color theme="1"/>
        <rFont val="等线"/>
        <family val="3"/>
        <charset val="134"/>
        <scheme val="minor"/>
      </rPr>
      <t>ousework</t>
    </r>
    <phoneticPr fontId="12" type="noConversion"/>
  </si>
  <si>
    <r>
      <t>h</t>
    </r>
    <r>
      <rPr>
        <sz val="11"/>
        <color theme="1"/>
        <rFont val="等线"/>
        <family val="3"/>
        <charset val="134"/>
        <scheme val="minor"/>
      </rPr>
      <t>ousing</t>
    </r>
    <phoneticPr fontId="12" type="noConversion"/>
  </si>
  <si>
    <r>
      <t>h</t>
    </r>
    <r>
      <rPr>
        <sz val="11"/>
        <color theme="1"/>
        <rFont val="等线"/>
        <family val="3"/>
        <charset val="134"/>
        <scheme val="minor"/>
      </rPr>
      <t>ousehold</t>
    </r>
    <phoneticPr fontId="12" type="noConversion"/>
  </si>
  <si>
    <r>
      <t>h</t>
    </r>
    <r>
      <rPr>
        <sz val="11"/>
        <color theme="1"/>
        <rFont val="等线"/>
        <family val="3"/>
        <charset val="134"/>
        <scheme val="minor"/>
      </rPr>
      <t>our</t>
    </r>
    <phoneticPr fontId="12" type="noConversion"/>
  </si>
  <si>
    <r>
      <t>h</t>
    </r>
    <r>
      <rPr>
        <sz val="11"/>
        <color theme="1"/>
        <rFont val="等线"/>
        <family val="3"/>
        <charset val="134"/>
        <scheme val="minor"/>
      </rPr>
      <t>otline</t>
    </r>
    <phoneticPr fontId="12" type="noConversion"/>
  </si>
  <si>
    <r>
      <t>h</t>
    </r>
    <r>
      <rPr>
        <sz val="11"/>
        <color theme="1"/>
        <rFont val="等线"/>
        <family val="3"/>
        <charset val="134"/>
        <scheme val="minor"/>
      </rPr>
      <t>unt</t>
    </r>
    <phoneticPr fontId="12" type="noConversion"/>
  </si>
  <si>
    <r>
      <t>h</t>
    </r>
    <r>
      <rPr>
        <sz val="11"/>
        <color theme="1"/>
        <rFont val="等线"/>
        <family val="3"/>
        <charset val="134"/>
        <scheme val="minor"/>
      </rPr>
      <t>unting</t>
    </r>
    <phoneticPr fontId="12" type="noConversion"/>
  </si>
  <si>
    <r>
      <t>i</t>
    </r>
    <r>
      <rPr>
        <sz val="11"/>
        <color theme="1"/>
        <rFont val="等线"/>
        <family val="3"/>
        <charset val="134"/>
        <scheme val="minor"/>
      </rPr>
      <t>dea</t>
    </r>
    <phoneticPr fontId="12" type="noConversion"/>
  </si>
  <si>
    <r>
      <t>i</t>
    </r>
    <r>
      <rPr>
        <sz val="11"/>
        <color theme="1"/>
        <rFont val="等线"/>
        <family val="3"/>
        <charset val="134"/>
        <scheme val="minor"/>
      </rPr>
      <t>dentification</t>
    </r>
    <phoneticPr fontId="12" type="noConversion"/>
  </si>
  <si>
    <r>
      <t>i</t>
    </r>
    <r>
      <rPr>
        <sz val="11"/>
        <color theme="1"/>
        <rFont val="等线"/>
        <family val="3"/>
        <charset val="134"/>
        <scheme val="minor"/>
      </rPr>
      <t>dentity</t>
    </r>
    <phoneticPr fontId="12" type="noConversion"/>
  </si>
  <si>
    <r>
      <t>i</t>
    </r>
    <r>
      <rPr>
        <sz val="11"/>
        <color theme="1"/>
        <rFont val="等线"/>
        <family val="3"/>
        <charset val="134"/>
        <scheme val="minor"/>
      </rPr>
      <t>mage</t>
    </r>
    <phoneticPr fontId="12" type="noConversion"/>
  </si>
  <si>
    <r>
      <t>i</t>
    </r>
    <r>
      <rPr>
        <sz val="11"/>
        <color theme="1"/>
        <rFont val="等线"/>
        <family val="3"/>
        <charset val="134"/>
        <scheme val="minor"/>
      </rPr>
      <t>mpact</t>
    </r>
    <phoneticPr fontId="12" type="noConversion"/>
  </si>
  <si>
    <r>
      <t>i</t>
    </r>
    <r>
      <rPr>
        <sz val="11"/>
        <color theme="1"/>
        <rFont val="等线"/>
        <family val="3"/>
        <charset val="134"/>
        <scheme val="minor"/>
      </rPr>
      <t>mport</t>
    </r>
    <phoneticPr fontId="12" type="noConversion"/>
  </si>
  <si>
    <r>
      <t>i</t>
    </r>
    <r>
      <rPr>
        <sz val="11"/>
        <color theme="1"/>
        <rFont val="等线"/>
        <family val="3"/>
        <charset val="134"/>
        <scheme val="minor"/>
      </rPr>
      <t>nability</t>
    </r>
    <phoneticPr fontId="12" type="noConversion"/>
  </si>
  <si>
    <r>
      <t>i</t>
    </r>
    <r>
      <rPr>
        <sz val="11"/>
        <color theme="1"/>
        <rFont val="等线"/>
        <family val="3"/>
        <charset val="134"/>
        <scheme val="minor"/>
      </rPr>
      <t>ncoming</t>
    </r>
    <phoneticPr fontId="12" type="noConversion"/>
  </si>
  <si>
    <r>
      <t>i</t>
    </r>
    <r>
      <rPr>
        <sz val="11"/>
        <color theme="1"/>
        <rFont val="等线"/>
        <family val="3"/>
        <charset val="134"/>
        <scheme val="minor"/>
      </rPr>
      <t>ndex</t>
    </r>
    <phoneticPr fontId="12" type="noConversion"/>
  </si>
  <si>
    <r>
      <t>i</t>
    </r>
    <r>
      <rPr>
        <sz val="11"/>
        <color theme="1"/>
        <rFont val="等线"/>
        <family val="3"/>
        <charset val="134"/>
        <scheme val="minor"/>
      </rPr>
      <t>ndustry</t>
    </r>
    <phoneticPr fontId="12" type="noConversion"/>
  </si>
  <si>
    <r>
      <t>i</t>
    </r>
    <r>
      <rPr>
        <sz val="11"/>
        <color theme="1"/>
        <rFont val="等线"/>
        <family val="3"/>
        <charset val="134"/>
        <scheme val="minor"/>
      </rPr>
      <t>nfection</t>
    </r>
    <phoneticPr fontId="12" type="noConversion"/>
  </si>
  <si>
    <r>
      <t>i</t>
    </r>
    <r>
      <rPr>
        <sz val="11"/>
        <color theme="1"/>
        <rFont val="等线"/>
        <family val="3"/>
        <charset val="134"/>
        <scheme val="minor"/>
      </rPr>
      <t>nfluence</t>
    </r>
    <phoneticPr fontId="12" type="noConversion"/>
  </si>
  <si>
    <r>
      <t>i</t>
    </r>
    <r>
      <rPr>
        <sz val="11"/>
        <color theme="1"/>
        <rFont val="等线"/>
        <family val="3"/>
        <charset val="134"/>
        <scheme val="minor"/>
      </rPr>
      <t>nformation</t>
    </r>
    <phoneticPr fontId="12" type="noConversion"/>
  </si>
  <si>
    <r>
      <t>i</t>
    </r>
    <r>
      <rPr>
        <sz val="11"/>
        <color theme="1"/>
        <rFont val="等线"/>
        <family val="3"/>
        <charset val="134"/>
        <scheme val="minor"/>
      </rPr>
      <t>njection</t>
    </r>
    <phoneticPr fontId="12" type="noConversion"/>
  </si>
  <si>
    <r>
      <t>i</t>
    </r>
    <r>
      <rPr>
        <sz val="11"/>
        <color theme="1"/>
        <rFont val="等线"/>
        <family val="3"/>
        <charset val="134"/>
        <scheme val="minor"/>
      </rPr>
      <t>njury</t>
    </r>
    <phoneticPr fontId="12" type="noConversion"/>
  </si>
  <si>
    <r>
      <t>i</t>
    </r>
    <r>
      <rPr>
        <sz val="11"/>
        <color theme="1"/>
        <rFont val="等线"/>
        <family val="3"/>
        <charset val="134"/>
        <scheme val="minor"/>
      </rPr>
      <t>nland</t>
    </r>
    <phoneticPr fontId="12" type="noConversion"/>
  </si>
  <si>
    <r>
      <t>i</t>
    </r>
    <r>
      <rPr>
        <sz val="11"/>
        <color theme="1"/>
        <rFont val="等线"/>
        <family val="3"/>
        <charset val="134"/>
        <scheme val="minor"/>
      </rPr>
      <t>nsect</t>
    </r>
    <phoneticPr fontId="12" type="noConversion"/>
  </si>
  <si>
    <r>
      <t>i</t>
    </r>
    <r>
      <rPr>
        <sz val="11"/>
        <color theme="1"/>
        <rFont val="等线"/>
        <family val="3"/>
        <charset val="134"/>
        <scheme val="minor"/>
      </rPr>
      <t>nsomia</t>
    </r>
    <phoneticPr fontId="12" type="noConversion"/>
  </si>
  <si>
    <r>
      <t>i</t>
    </r>
    <r>
      <rPr>
        <sz val="11"/>
        <color theme="1"/>
        <rFont val="等线"/>
        <family val="3"/>
        <charset val="134"/>
        <scheme val="minor"/>
      </rPr>
      <t>nstitude</t>
    </r>
    <phoneticPr fontId="12" type="noConversion"/>
  </si>
  <si>
    <r>
      <t>i</t>
    </r>
    <r>
      <rPr>
        <sz val="11"/>
        <color theme="1"/>
        <rFont val="等线"/>
        <family val="3"/>
        <charset val="134"/>
        <scheme val="minor"/>
      </rPr>
      <t>nstitution</t>
    </r>
    <phoneticPr fontId="12" type="noConversion"/>
  </si>
  <si>
    <r>
      <t>i</t>
    </r>
    <r>
      <rPr>
        <sz val="11"/>
        <color theme="1"/>
        <rFont val="等线"/>
        <family val="3"/>
        <charset val="134"/>
        <scheme val="minor"/>
      </rPr>
      <t>nstruction</t>
    </r>
    <phoneticPr fontId="12" type="noConversion"/>
  </si>
  <si>
    <r>
      <t>i</t>
    </r>
    <r>
      <rPr>
        <sz val="11"/>
        <color theme="1"/>
        <rFont val="等线"/>
        <family val="3"/>
        <charset val="134"/>
        <scheme val="minor"/>
      </rPr>
      <t>nstructor</t>
    </r>
    <phoneticPr fontId="12" type="noConversion"/>
  </si>
  <si>
    <r>
      <t>i</t>
    </r>
    <r>
      <rPr>
        <sz val="11"/>
        <color theme="1"/>
        <rFont val="等线"/>
        <family val="3"/>
        <charset val="134"/>
        <scheme val="minor"/>
      </rPr>
      <t>nstrument</t>
    </r>
    <phoneticPr fontId="12" type="noConversion"/>
  </si>
  <si>
    <r>
      <t>i</t>
    </r>
    <r>
      <rPr>
        <sz val="11"/>
        <color theme="1"/>
        <rFont val="等线"/>
        <family val="3"/>
        <charset val="134"/>
        <scheme val="minor"/>
      </rPr>
      <t>nterest</t>
    </r>
    <phoneticPr fontId="12" type="noConversion"/>
  </si>
  <si>
    <t>Internet</t>
    <phoneticPr fontId="12" type="noConversion"/>
  </si>
  <si>
    <r>
      <t>i</t>
    </r>
    <r>
      <rPr>
        <sz val="11"/>
        <color theme="1"/>
        <rFont val="等线"/>
        <family val="3"/>
        <charset val="134"/>
        <scheme val="minor"/>
      </rPr>
      <t>nterviewer</t>
    </r>
    <phoneticPr fontId="12" type="noConversion"/>
  </si>
  <si>
    <r>
      <t>i</t>
    </r>
    <r>
      <rPr>
        <sz val="11"/>
        <color theme="1"/>
        <rFont val="等线"/>
        <family val="3"/>
        <charset val="134"/>
        <scheme val="minor"/>
      </rPr>
      <t>ntroduction</t>
    </r>
    <phoneticPr fontId="12" type="noConversion"/>
  </si>
  <si>
    <r>
      <t>i</t>
    </r>
    <r>
      <rPr>
        <sz val="11"/>
        <color theme="1"/>
        <rFont val="等线"/>
        <family val="3"/>
        <charset val="134"/>
        <scheme val="minor"/>
      </rPr>
      <t>nvestgator</t>
    </r>
    <phoneticPr fontId="12" type="noConversion"/>
  </si>
  <si>
    <r>
      <t>i</t>
    </r>
    <r>
      <rPr>
        <sz val="11"/>
        <color theme="1"/>
        <rFont val="等线"/>
        <family val="3"/>
        <charset val="134"/>
        <scheme val="minor"/>
      </rPr>
      <t>nvestment</t>
    </r>
    <phoneticPr fontId="12" type="noConversion"/>
  </si>
  <si>
    <r>
      <t>i</t>
    </r>
    <r>
      <rPr>
        <sz val="11"/>
        <color theme="1"/>
        <rFont val="等线"/>
        <family val="3"/>
        <charset val="134"/>
        <scheme val="minor"/>
      </rPr>
      <t>rrigation</t>
    </r>
    <phoneticPr fontId="12" type="noConversion"/>
  </si>
  <si>
    <r>
      <t>i</t>
    </r>
    <r>
      <rPr>
        <sz val="11"/>
        <color theme="1"/>
        <rFont val="等线"/>
        <family val="3"/>
        <charset val="134"/>
        <scheme val="minor"/>
      </rPr>
      <t>sland</t>
    </r>
    <phoneticPr fontId="12" type="noConversion"/>
  </si>
  <si>
    <r>
      <t>i</t>
    </r>
    <r>
      <rPr>
        <sz val="11"/>
        <color theme="1"/>
        <rFont val="等线"/>
        <family val="3"/>
        <charset val="134"/>
        <scheme val="minor"/>
      </rPr>
      <t>solation</t>
    </r>
    <phoneticPr fontId="12" type="noConversion"/>
  </si>
  <si>
    <r>
      <t>i</t>
    </r>
    <r>
      <rPr>
        <sz val="11"/>
        <color theme="1"/>
        <rFont val="等线"/>
        <family val="3"/>
        <charset val="134"/>
        <scheme val="minor"/>
      </rPr>
      <t>tem</t>
    </r>
    <phoneticPr fontId="12" type="noConversion"/>
  </si>
  <si>
    <r>
      <t>j</t>
    </r>
    <r>
      <rPr>
        <sz val="11"/>
        <color theme="1"/>
        <rFont val="等线"/>
        <family val="3"/>
        <charset val="134"/>
        <scheme val="minor"/>
      </rPr>
      <t>acket</t>
    </r>
    <phoneticPr fontId="12" type="noConversion"/>
  </si>
  <si>
    <r>
      <t>j</t>
    </r>
    <r>
      <rPr>
        <sz val="11"/>
        <color theme="1"/>
        <rFont val="等线"/>
        <family val="3"/>
        <charset val="134"/>
        <scheme val="minor"/>
      </rPr>
      <t>am</t>
    </r>
    <phoneticPr fontId="12" type="noConversion"/>
  </si>
  <si>
    <t>jaw</t>
    <phoneticPr fontId="12" type="noConversion"/>
  </si>
  <si>
    <r>
      <t>j</t>
    </r>
    <r>
      <rPr>
        <sz val="11"/>
        <color theme="1"/>
        <rFont val="等线"/>
        <family val="3"/>
        <charset val="134"/>
        <scheme val="minor"/>
      </rPr>
      <t>eans</t>
    </r>
    <phoneticPr fontId="12" type="noConversion"/>
  </si>
  <si>
    <r>
      <t>j</t>
    </r>
    <r>
      <rPr>
        <sz val="11"/>
        <color theme="1"/>
        <rFont val="等线"/>
        <family val="3"/>
        <charset val="134"/>
        <scheme val="minor"/>
      </rPr>
      <t>ournal</t>
    </r>
    <phoneticPr fontId="12" type="noConversion"/>
  </si>
  <si>
    <r>
      <t>j</t>
    </r>
    <r>
      <rPr>
        <sz val="11"/>
        <color theme="1"/>
        <rFont val="等线"/>
        <family val="3"/>
        <charset val="134"/>
        <scheme val="minor"/>
      </rPr>
      <t>udge</t>
    </r>
    <phoneticPr fontId="12" type="noConversion"/>
  </si>
  <si>
    <r>
      <t>j</t>
    </r>
    <r>
      <rPr>
        <sz val="11"/>
        <color theme="1"/>
        <rFont val="等线"/>
        <family val="3"/>
        <charset val="134"/>
        <scheme val="minor"/>
      </rPr>
      <t>uice</t>
    </r>
    <phoneticPr fontId="12" type="noConversion"/>
  </si>
  <si>
    <r>
      <t>j</t>
    </r>
    <r>
      <rPr>
        <sz val="11"/>
        <color theme="1"/>
        <rFont val="等线"/>
        <family val="3"/>
        <charset val="134"/>
        <scheme val="minor"/>
      </rPr>
      <t>unction</t>
    </r>
    <phoneticPr fontId="12" type="noConversion"/>
  </si>
  <si>
    <r>
      <t>j</t>
    </r>
    <r>
      <rPr>
        <sz val="11"/>
        <color theme="1"/>
        <rFont val="等线"/>
        <family val="3"/>
        <charset val="134"/>
        <scheme val="minor"/>
      </rPr>
      <t>unior</t>
    </r>
    <phoneticPr fontId="12" type="noConversion"/>
  </si>
  <si>
    <r>
      <t>k</t>
    </r>
    <r>
      <rPr>
        <sz val="11"/>
        <color theme="1"/>
        <rFont val="等线"/>
        <family val="3"/>
        <charset val="134"/>
        <scheme val="minor"/>
      </rPr>
      <t>eeper</t>
    </r>
    <phoneticPr fontId="12" type="noConversion"/>
  </si>
  <si>
    <r>
      <t>k</t>
    </r>
    <r>
      <rPr>
        <sz val="11"/>
        <color theme="1"/>
        <rFont val="等线"/>
        <family val="3"/>
        <charset val="134"/>
        <scheme val="minor"/>
      </rPr>
      <t>elp</t>
    </r>
    <phoneticPr fontId="12" type="noConversion"/>
  </si>
  <si>
    <r>
      <t>k</t>
    </r>
    <r>
      <rPr>
        <sz val="11"/>
        <color theme="1"/>
        <rFont val="等线"/>
        <family val="3"/>
        <charset val="134"/>
        <scheme val="minor"/>
      </rPr>
      <t>eyword</t>
    </r>
    <phoneticPr fontId="12" type="noConversion"/>
  </si>
  <si>
    <r>
      <t>k</t>
    </r>
    <r>
      <rPr>
        <sz val="11"/>
        <color theme="1"/>
        <rFont val="等线"/>
        <family val="3"/>
        <charset val="134"/>
        <scheme val="minor"/>
      </rPr>
      <t>id</t>
    </r>
    <phoneticPr fontId="12" type="noConversion"/>
  </si>
  <si>
    <r>
      <t>k</t>
    </r>
    <r>
      <rPr>
        <sz val="11"/>
        <color theme="1"/>
        <rFont val="等线"/>
        <family val="3"/>
        <charset val="134"/>
        <scheme val="minor"/>
      </rPr>
      <t>ing</t>
    </r>
    <phoneticPr fontId="12" type="noConversion"/>
  </si>
  <si>
    <r>
      <t>k</t>
    </r>
    <r>
      <rPr>
        <sz val="11"/>
        <color theme="1"/>
        <rFont val="等线"/>
        <family val="3"/>
        <charset val="134"/>
        <scheme val="minor"/>
      </rPr>
      <t>iosk</t>
    </r>
    <phoneticPr fontId="12" type="noConversion"/>
  </si>
  <si>
    <r>
      <t>k</t>
    </r>
    <r>
      <rPr>
        <sz val="11"/>
        <color theme="1"/>
        <rFont val="等线"/>
        <family val="3"/>
        <charset val="134"/>
        <scheme val="minor"/>
      </rPr>
      <t>it</t>
    </r>
    <phoneticPr fontId="12" type="noConversion"/>
  </si>
  <si>
    <r>
      <t>k</t>
    </r>
    <r>
      <rPr>
        <sz val="11"/>
        <color theme="1"/>
        <rFont val="等线"/>
        <family val="3"/>
        <charset val="134"/>
        <scheme val="minor"/>
      </rPr>
      <t>itchen</t>
    </r>
    <phoneticPr fontId="12" type="noConversion"/>
  </si>
  <si>
    <t>kits</t>
    <phoneticPr fontId="12" type="noConversion"/>
  </si>
  <si>
    <r>
      <t>k</t>
    </r>
    <r>
      <rPr>
        <sz val="11"/>
        <color theme="1"/>
        <rFont val="等线"/>
        <family val="3"/>
        <charset val="134"/>
        <scheme val="minor"/>
      </rPr>
      <t>nife</t>
    </r>
    <phoneticPr fontId="12" type="noConversion"/>
  </si>
  <si>
    <r>
      <t>k</t>
    </r>
    <r>
      <rPr>
        <sz val="11"/>
        <color theme="1"/>
        <rFont val="等线"/>
        <family val="3"/>
        <charset val="134"/>
        <scheme val="minor"/>
      </rPr>
      <t>nowledge</t>
    </r>
    <phoneticPr fontId="12" type="noConversion"/>
  </si>
  <si>
    <r>
      <t>k</t>
    </r>
    <r>
      <rPr>
        <sz val="11"/>
        <color theme="1"/>
        <rFont val="等线"/>
        <family val="3"/>
        <charset val="134"/>
        <scheme val="minor"/>
      </rPr>
      <t>oala</t>
    </r>
    <phoneticPr fontId="12" type="noConversion"/>
  </si>
  <si>
    <r>
      <t>l</t>
    </r>
    <r>
      <rPr>
        <sz val="11"/>
        <color theme="1"/>
        <rFont val="等线"/>
        <family val="3"/>
        <charset val="134"/>
        <scheme val="minor"/>
      </rPr>
      <t>ab</t>
    </r>
    <phoneticPr fontId="12" type="noConversion"/>
  </si>
  <si>
    <r>
      <t>l</t>
    </r>
    <r>
      <rPr>
        <sz val="11"/>
        <color theme="1"/>
        <rFont val="等线"/>
        <family val="3"/>
        <charset val="134"/>
        <scheme val="minor"/>
      </rPr>
      <t>ake</t>
    </r>
    <phoneticPr fontId="12" type="noConversion"/>
  </si>
  <si>
    <r>
      <t>l</t>
    </r>
    <r>
      <rPr>
        <sz val="11"/>
        <color theme="1"/>
        <rFont val="等线"/>
        <family val="3"/>
        <charset val="134"/>
        <scheme val="minor"/>
      </rPr>
      <t>amb</t>
    </r>
    <phoneticPr fontId="12" type="noConversion"/>
  </si>
  <si>
    <r>
      <t>l</t>
    </r>
    <r>
      <rPr>
        <sz val="11"/>
        <color theme="1"/>
        <rFont val="等线"/>
        <family val="3"/>
        <charset val="134"/>
        <scheme val="minor"/>
      </rPr>
      <t>and</t>
    </r>
    <phoneticPr fontId="12" type="noConversion"/>
  </si>
  <si>
    <r>
      <t>l</t>
    </r>
    <r>
      <rPr>
        <sz val="11"/>
        <color theme="1"/>
        <rFont val="等线"/>
        <family val="3"/>
        <charset val="134"/>
        <scheme val="minor"/>
      </rPr>
      <t>andmark</t>
    </r>
    <phoneticPr fontId="12" type="noConversion"/>
  </si>
  <si>
    <r>
      <t>l</t>
    </r>
    <r>
      <rPr>
        <sz val="11"/>
        <color theme="1"/>
        <rFont val="等线"/>
        <family val="3"/>
        <charset val="134"/>
        <scheme val="minor"/>
      </rPr>
      <t>andscape</t>
    </r>
    <phoneticPr fontId="12" type="noConversion"/>
  </si>
  <si>
    <r>
      <t>l</t>
    </r>
    <r>
      <rPr>
        <sz val="11"/>
        <color theme="1"/>
        <rFont val="等线"/>
        <family val="3"/>
        <charset val="134"/>
        <scheme val="minor"/>
      </rPr>
      <t>anguage</t>
    </r>
    <phoneticPr fontId="12" type="noConversion"/>
  </si>
  <si>
    <r>
      <t>l</t>
    </r>
    <r>
      <rPr>
        <sz val="11"/>
        <color theme="1"/>
        <rFont val="等线"/>
        <family val="3"/>
        <charset val="134"/>
        <scheme val="minor"/>
      </rPr>
      <t>aptop</t>
    </r>
    <phoneticPr fontId="12" type="noConversion"/>
  </si>
  <si>
    <r>
      <t>l</t>
    </r>
    <r>
      <rPr>
        <sz val="11"/>
        <color theme="1"/>
        <rFont val="等线"/>
        <family val="3"/>
        <charset val="134"/>
        <scheme val="minor"/>
      </rPr>
      <t>azer</t>
    </r>
    <phoneticPr fontId="12" type="noConversion"/>
  </si>
  <si>
    <r>
      <t>l</t>
    </r>
    <r>
      <rPr>
        <sz val="11"/>
        <color theme="1"/>
        <rFont val="等线"/>
        <family val="3"/>
        <charset val="134"/>
        <scheme val="minor"/>
      </rPr>
      <t>awyer</t>
    </r>
    <phoneticPr fontId="12" type="noConversion"/>
  </si>
  <si>
    <r>
      <t>l</t>
    </r>
    <r>
      <rPr>
        <sz val="11"/>
        <color theme="1"/>
        <rFont val="等线"/>
        <family val="3"/>
        <charset val="134"/>
        <scheme val="minor"/>
      </rPr>
      <t>ayer</t>
    </r>
    <phoneticPr fontId="12" type="noConversion"/>
  </si>
  <si>
    <r>
      <t>l</t>
    </r>
    <r>
      <rPr>
        <sz val="11"/>
        <color theme="1"/>
        <rFont val="等线"/>
        <family val="3"/>
        <charset val="134"/>
        <scheme val="minor"/>
      </rPr>
      <t>ecture</t>
    </r>
    <phoneticPr fontId="12" type="noConversion"/>
  </si>
  <si>
    <r>
      <t>l</t>
    </r>
    <r>
      <rPr>
        <sz val="11"/>
        <color theme="1"/>
        <rFont val="等线"/>
        <family val="3"/>
        <charset val="134"/>
        <scheme val="minor"/>
      </rPr>
      <t>ecturer</t>
    </r>
    <phoneticPr fontId="12" type="noConversion"/>
  </si>
  <si>
    <r>
      <t>l</t>
    </r>
    <r>
      <rPr>
        <sz val="11"/>
        <color theme="1"/>
        <rFont val="等线"/>
        <family val="3"/>
        <charset val="134"/>
        <scheme val="minor"/>
      </rPr>
      <t>eisure</t>
    </r>
    <phoneticPr fontId="12" type="noConversion"/>
  </si>
  <si>
    <r>
      <t>l</t>
    </r>
    <r>
      <rPr>
        <sz val="11"/>
        <color theme="1"/>
        <rFont val="等线"/>
        <family val="3"/>
        <charset val="134"/>
        <scheme val="minor"/>
      </rPr>
      <t>emon</t>
    </r>
    <phoneticPr fontId="12" type="noConversion"/>
  </si>
  <si>
    <r>
      <t>l</t>
    </r>
    <r>
      <rPr>
        <sz val="11"/>
        <color theme="1"/>
        <rFont val="等线"/>
        <family val="3"/>
        <charset val="134"/>
        <scheme val="minor"/>
      </rPr>
      <t>endor</t>
    </r>
    <phoneticPr fontId="12" type="noConversion"/>
  </si>
  <si>
    <t>l</t>
    <phoneticPr fontId="12" type="noConversion"/>
  </si>
  <si>
    <r>
      <t>l</t>
    </r>
    <r>
      <rPr>
        <sz val="11"/>
        <color theme="1"/>
        <rFont val="等线"/>
        <family val="3"/>
        <charset val="134"/>
        <scheme val="minor"/>
      </rPr>
      <t>esson</t>
    </r>
    <phoneticPr fontId="12" type="noConversion"/>
  </si>
  <si>
    <r>
      <t>l</t>
    </r>
    <r>
      <rPr>
        <sz val="11"/>
        <color theme="1"/>
        <rFont val="等线"/>
        <family val="3"/>
        <charset val="134"/>
        <scheme val="minor"/>
      </rPr>
      <t>etter</t>
    </r>
    <phoneticPr fontId="12" type="noConversion"/>
  </si>
  <si>
    <r>
      <t>l</t>
    </r>
    <r>
      <rPr>
        <sz val="11"/>
        <color theme="1"/>
        <rFont val="等线"/>
        <family val="3"/>
        <charset val="134"/>
        <scheme val="minor"/>
      </rPr>
      <t>evel</t>
    </r>
    <phoneticPr fontId="12" type="noConversion"/>
  </si>
  <si>
    <r>
      <t>l</t>
    </r>
    <r>
      <rPr>
        <sz val="11"/>
        <color theme="1"/>
        <rFont val="等线"/>
        <family val="3"/>
        <charset val="134"/>
        <scheme val="minor"/>
      </rPr>
      <t>ibrary</t>
    </r>
  </si>
  <si>
    <t>lift</t>
    <phoneticPr fontId="12" type="noConversion"/>
  </si>
  <si>
    <r>
      <t>l</t>
    </r>
    <r>
      <rPr>
        <sz val="11"/>
        <color theme="1"/>
        <rFont val="等线"/>
        <family val="3"/>
        <charset val="134"/>
        <scheme val="minor"/>
      </rPr>
      <t>ight</t>
    </r>
    <phoneticPr fontId="12" type="noConversion"/>
  </si>
  <si>
    <r>
      <t>l</t>
    </r>
    <r>
      <rPr>
        <sz val="11"/>
        <color theme="1"/>
        <rFont val="等线"/>
        <family val="3"/>
        <charset val="134"/>
        <scheme val="minor"/>
      </rPr>
      <t>ion</t>
    </r>
    <phoneticPr fontId="12" type="noConversion"/>
  </si>
  <si>
    <r>
      <t>l</t>
    </r>
    <r>
      <rPr>
        <sz val="11"/>
        <color theme="1"/>
        <rFont val="等线"/>
        <family val="3"/>
        <charset val="134"/>
        <scheme val="minor"/>
      </rPr>
      <t>ists</t>
    </r>
    <phoneticPr fontId="12" type="noConversion"/>
  </si>
  <si>
    <r>
      <t>l</t>
    </r>
    <r>
      <rPr>
        <sz val="11"/>
        <color theme="1"/>
        <rFont val="等线"/>
        <family val="3"/>
        <charset val="134"/>
        <scheme val="minor"/>
      </rPr>
      <t>one</t>
    </r>
    <phoneticPr fontId="12" type="noConversion"/>
  </si>
  <si>
    <r>
      <t>l</t>
    </r>
    <r>
      <rPr>
        <sz val="11"/>
        <color theme="1"/>
        <rFont val="等线"/>
        <family val="3"/>
        <charset val="134"/>
        <scheme val="minor"/>
      </rPr>
      <t>ocation</t>
    </r>
    <phoneticPr fontId="12" type="noConversion"/>
  </si>
  <si>
    <r>
      <t>l</t>
    </r>
    <r>
      <rPr>
        <sz val="11"/>
        <color theme="1"/>
        <rFont val="等线"/>
        <family val="3"/>
        <charset val="134"/>
        <scheme val="minor"/>
      </rPr>
      <t>og</t>
    </r>
    <phoneticPr fontId="12" type="noConversion"/>
  </si>
  <si>
    <r>
      <t>l</t>
    </r>
    <r>
      <rPr>
        <sz val="11"/>
        <color theme="1"/>
        <rFont val="等线"/>
        <family val="3"/>
        <charset val="134"/>
        <scheme val="minor"/>
      </rPr>
      <t>ost</t>
    </r>
    <phoneticPr fontId="12" type="noConversion"/>
  </si>
  <si>
    <r>
      <t>l</t>
    </r>
    <r>
      <rPr>
        <sz val="11"/>
        <color theme="1"/>
        <rFont val="等线"/>
        <family val="3"/>
        <charset val="134"/>
        <scheme val="minor"/>
      </rPr>
      <t>ounge</t>
    </r>
    <phoneticPr fontId="12" type="noConversion"/>
  </si>
  <si>
    <r>
      <t>l</t>
    </r>
    <r>
      <rPr>
        <sz val="11"/>
        <color theme="1"/>
        <rFont val="等线"/>
        <family val="3"/>
        <charset val="134"/>
        <scheme val="minor"/>
      </rPr>
      <t>oyalty</t>
    </r>
    <phoneticPr fontId="12" type="noConversion"/>
  </si>
  <si>
    <r>
      <t>l</t>
    </r>
    <r>
      <rPr>
        <sz val="11"/>
        <color theme="1"/>
        <rFont val="等线"/>
        <family val="3"/>
        <charset val="134"/>
        <scheme val="minor"/>
      </rPr>
      <t>ug</t>
    </r>
    <phoneticPr fontId="12" type="noConversion"/>
  </si>
  <si>
    <r>
      <t>l</t>
    </r>
    <r>
      <rPr>
        <sz val="11"/>
        <color theme="1"/>
        <rFont val="等线"/>
        <family val="3"/>
        <charset val="134"/>
        <scheme val="minor"/>
      </rPr>
      <t>unch</t>
    </r>
    <phoneticPr fontId="12" type="noConversion"/>
  </si>
  <si>
    <r>
      <t>l</t>
    </r>
    <r>
      <rPr>
        <sz val="11"/>
        <color theme="1"/>
        <rFont val="等线"/>
        <family val="3"/>
        <charset val="134"/>
        <scheme val="minor"/>
      </rPr>
      <t>ung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</si>
  <si>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achine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</si>
  <si>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agazine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</si>
  <si>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ade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</si>
  <si>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ale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</si>
  <si>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ajority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</si>
  <si>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aking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</si>
  <si>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anager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</si>
  <si>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ain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</si>
  <si>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anufacture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</si>
  <si>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ap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</si>
  <si>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argin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</si>
  <si>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ark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</si>
  <si>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arket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</si>
  <si>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arketing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</si>
  <si>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ash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</si>
  <si>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aster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</si>
  <si>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aching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</si>
  <si>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aterial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</si>
  <si>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atuirty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</si>
  <si>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aximum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</si>
  <si>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eal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</si>
  <si>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easure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</si>
  <si>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easurement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</si>
  <si>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eat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</si>
  <si>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edia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</si>
  <si>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edit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</si>
  <si>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edicine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</si>
  <si>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edium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</si>
  <si>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ethod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</si>
  <si>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icrophone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</si>
  <si>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igration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</si>
  <si>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ile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</si>
  <si>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ilage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</si>
  <si>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ilk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</si>
  <si>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ine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</si>
  <si>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ineral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</si>
  <si>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ill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</si>
  <si>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inimum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</si>
  <si>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inute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</si>
  <si>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ixture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</si>
  <si>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odel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</si>
  <si>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oney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</si>
  <si>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onopoly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</si>
  <si>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onth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</si>
  <si>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ood</t>
    </r>
    <phoneticPr fontId="12" type="noConversion"/>
  </si>
  <si>
    <t>morality</t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</si>
  <si>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ost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</si>
  <si>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otel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</si>
  <si>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ountain</t>
    </r>
    <phoneticPr fontId="12" type="noConversion"/>
  </si>
  <si>
    <t>mouth</t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</si>
  <si>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ovie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</si>
  <si>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usle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</si>
  <si>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useum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</si>
  <si>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usic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</si>
  <si>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usical</t>
    </r>
    <phoneticPr fontId="12" type="noConversion"/>
  </si>
  <si>
    <r>
      <t>m</t>
    </r>
    <r>
      <rPr>
        <sz val="11"/>
        <color theme="1"/>
        <rFont val="等线"/>
        <family val="3"/>
        <charset val="134"/>
        <scheme val="minor"/>
      </rPr>
      <t>usician</t>
    </r>
    <phoneticPr fontId="12" type="noConversion"/>
  </si>
  <si>
    <t>nap</t>
    <phoneticPr fontId="12" type="noConversion"/>
  </si>
  <si>
    <r>
      <t>n</t>
    </r>
    <r>
      <rPr>
        <sz val="11"/>
        <color theme="1"/>
        <rFont val="等线"/>
        <family val="3"/>
        <charset val="134"/>
        <scheme val="minor"/>
      </rPr>
      <t>ature</t>
    </r>
    <phoneticPr fontId="12" type="noConversion"/>
  </si>
  <si>
    <r>
      <t>n</t>
    </r>
    <r>
      <rPr>
        <sz val="11"/>
        <color theme="1"/>
        <rFont val="等线"/>
        <family val="3"/>
        <charset val="134"/>
        <scheme val="minor"/>
      </rPr>
      <t>orth</t>
    </r>
    <phoneticPr fontId="12" type="noConversion"/>
  </si>
  <si>
    <r>
      <t>n</t>
    </r>
    <r>
      <rPr>
        <sz val="11"/>
        <color theme="1"/>
        <rFont val="等线"/>
        <family val="3"/>
        <charset val="134"/>
        <scheme val="minor"/>
      </rPr>
      <t>eck</t>
    </r>
    <phoneticPr fontId="12" type="noConversion"/>
  </si>
  <si>
    <t>net</t>
    <phoneticPr fontId="12" type="noConversion"/>
  </si>
  <si>
    <r>
      <t>n</t>
    </r>
    <r>
      <rPr>
        <sz val="11"/>
        <color theme="1"/>
        <rFont val="等线"/>
        <family val="3"/>
        <charset val="134"/>
        <scheme val="minor"/>
      </rPr>
      <t>ewspaper</t>
    </r>
    <phoneticPr fontId="12" type="noConversion"/>
  </si>
  <si>
    <r>
      <t>n</t>
    </r>
    <r>
      <rPr>
        <sz val="11"/>
        <color theme="1"/>
        <rFont val="等线"/>
        <family val="3"/>
        <charset val="134"/>
        <scheme val="minor"/>
      </rPr>
      <t>ight</t>
    </r>
    <phoneticPr fontId="12" type="noConversion"/>
  </si>
  <si>
    <r>
      <t>n</t>
    </r>
    <r>
      <rPr>
        <sz val="11"/>
        <color theme="1"/>
        <rFont val="等线"/>
        <family val="3"/>
        <charset val="134"/>
        <scheme val="minor"/>
      </rPr>
      <t>oise</t>
    </r>
    <phoneticPr fontId="12" type="noConversion"/>
  </si>
  <si>
    <r>
      <t>n</t>
    </r>
    <r>
      <rPr>
        <sz val="11"/>
        <color theme="1"/>
        <rFont val="等线"/>
        <family val="3"/>
        <charset val="134"/>
        <scheme val="minor"/>
      </rPr>
      <t>ortheast</t>
    </r>
    <phoneticPr fontId="12" type="noConversion"/>
  </si>
  <si>
    <r>
      <t>n</t>
    </r>
    <r>
      <rPr>
        <sz val="11"/>
        <color theme="1"/>
        <rFont val="等线"/>
        <family val="3"/>
        <charset val="134"/>
        <scheme val="minor"/>
      </rPr>
      <t>orthwest</t>
    </r>
    <phoneticPr fontId="12" type="noConversion"/>
  </si>
  <si>
    <r>
      <t>n</t>
    </r>
    <r>
      <rPr>
        <sz val="11"/>
        <color theme="1"/>
        <rFont val="等线"/>
        <family val="3"/>
        <charset val="134"/>
        <scheme val="minor"/>
      </rPr>
      <t>ose</t>
    </r>
    <phoneticPr fontId="12" type="noConversion"/>
  </si>
  <si>
    <r>
      <t>n</t>
    </r>
    <r>
      <rPr>
        <sz val="11"/>
        <color theme="1"/>
        <rFont val="等线"/>
        <family val="3"/>
        <charset val="134"/>
        <scheme val="minor"/>
      </rPr>
      <t>ote</t>
    </r>
    <phoneticPr fontId="12" type="noConversion"/>
  </si>
  <si>
    <r>
      <t>n</t>
    </r>
    <r>
      <rPr>
        <sz val="11"/>
        <color theme="1"/>
        <rFont val="等线"/>
        <family val="3"/>
        <charset val="134"/>
        <scheme val="minor"/>
      </rPr>
      <t>otice</t>
    </r>
    <phoneticPr fontId="12" type="noConversion"/>
  </si>
  <si>
    <r>
      <t>n</t>
    </r>
    <r>
      <rPr>
        <sz val="11"/>
        <color theme="1"/>
        <rFont val="等线"/>
        <family val="3"/>
        <charset val="134"/>
        <scheme val="minor"/>
      </rPr>
      <t>urse</t>
    </r>
    <phoneticPr fontId="12" type="noConversion"/>
  </si>
  <si>
    <r>
      <t>n</t>
    </r>
    <r>
      <rPr>
        <sz val="11"/>
        <color theme="1"/>
        <rFont val="等线"/>
        <family val="3"/>
        <charset val="134"/>
        <scheme val="minor"/>
      </rPr>
      <t>usery</t>
    </r>
    <phoneticPr fontId="12" type="noConversion"/>
  </si>
  <si>
    <r>
      <t>n</t>
    </r>
    <r>
      <rPr>
        <sz val="11"/>
        <color theme="1"/>
        <rFont val="等线"/>
        <family val="3"/>
        <charset val="134"/>
        <scheme val="minor"/>
      </rPr>
      <t>ursring</t>
    </r>
    <phoneticPr fontId="12" type="noConversion"/>
  </si>
  <si>
    <r>
      <t>n</t>
    </r>
    <r>
      <rPr>
        <sz val="11"/>
        <color theme="1"/>
        <rFont val="等线"/>
        <family val="3"/>
        <charset val="134"/>
        <scheme val="minor"/>
      </rPr>
      <t>utrition</t>
    </r>
    <phoneticPr fontId="12" type="noConversion"/>
  </si>
  <si>
    <r>
      <t>o</t>
    </r>
    <r>
      <rPr>
        <sz val="11"/>
        <color theme="1"/>
        <rFont val="等线"/>
        <family val="3"/>
        <charset val="134"/>
        <scheme val="minor"/>
      </rPr>
      <t>bjective</t>
    </r>
    <phoneticPr fontId="12" type="noConversion"/>
  </si>
  <si>
    <r>
      <t>o</t>
    </r>
    <r>
      <rPr>
        <sz val="11"/>
        <color theme="1"/>
        <rFont val="等线"/>
        <family val="3"/>
        <charset val="134"/>
        <scheme val="minor"/>
      </rPr>
      <t>ccacion</t>
    </r>
    <phoneticPr fontId="12" type="noConversion"/>
  </si>
  <si>
    <r>
      <t>o</t>
    </r>
    <r>
      <rPr>
        <sz val="11"/>
        <color theme="1"/>
        <rFont val="等线"/>
        <family val="3"/>
        <charset val="134"/>
        <scheme val="minor"/>
      </rPr>
      <t>ccupant</t>
    </r>
    <phoneticPr fontId="12" type="noConversion"/>
  </si>
  <si>
    <r>
      <t>o</t>
    </r>
    <r>
      <rPr>
        <sz val="11"/>
        <color theme="1"/>
        <rFont val="等线"/>
        <family val="3"/>
        <charset val="134"/>
        <scheme val="minor"/>
      </rPr>
      <t>cean</t>
    </r>
    <phoneticPr fontId="12" type="noConversion"/>
  </si>
  <si>
    <r>
      <t>o</t>
    </r>
    <r>
      <rPr>
        <sz val="11"/>
        <color theme="1"/>
        <rFont val="等线"/>
        <family val="3"/>
        <charset val="134"/>
        <scheme val="minor"/>
      </rPr>
      <t>culist</t>
    </r>
    <phoneticPr fontId="12" type="noConversion"/>
  </si>
  <si>
    <r>
      <t>o</t>
    </r>
    <r>
      <rPr>
        <sz val="11"/>
        <color theme="1"/>
        <rFont val="等线"/>
        <family val="3"/>
        <charset val="134"/>
        <scheme val="minor"/>
      </rPr>
      <t>int</t>
    </r>
    <phoneticPr fontId="12" type="noConversion"/>
  </si>
  <si>
    <r>
      <t>o</t>
    </r>
    <r>
      <rPr>
        <sz val="11"/>
        <color theme="1"/>
        <rFont val="等线"/>
        <family val="3"/>
        <charset val="134"/>
        <scheme val="minor"/>
      </rPr>
      <t>ption</t>
    </r>
    <phoneticPr fontId="12" type="noConversion"/>
  </si>
  <si>
    <r>
      <t>o</t>
    </r>
    <r>
      <rPr>
        <sz val="11"/>
        <color theme="1"/>
        <rFont val="等线"/>
        <family val="3"/>
        <charset val="134"/>
        <scheme val="minor"/>
      </rPr>
      <t>rder</t>
    </r>
    <phoneticPr fontId="12" type="noConversion"/>
  </si>
  <si>
    <r>
      <t>o</t>
    </r>
    <r>
      <rPr>
        <sz val="11"/>
        <color theme="1"/>
        <rFont val="等线"/>
        <family val="3"/>
        <charset val="134"/>
        <scheme val="minor"/>
      </rPr>
      <t>rdinary</t>
    </r>
    <phoneticPr fontId="12" type="noConversion"/>
  </si>
  <si>
    <r>
      <t>o</t>
    </r>
    <r>
      <rPr>
        <sz val="11"/>
        <color theme="1"/>
        <rFont val="等线"/>
        <family val="3"/>
        <charset val="134"/>
        <scheme val="minor"/>
      </rPr>
      <t>rganizer</t>
    </r>
    <phoneticPr fontId="12" type="noConversion"/>
  </si>
  <si>
    <r>
      <t>o</t>
    </r>
    <r>
      <rPr>
        <sz val="11"/>
        <color theme="1"/>
        <rFont val="等线"/>
        <family val="3"/>
        <charset val="134"/>
        <scheme val="minor"/>
      </rPr>
      <t>rigional</t>
    </r>
    <phoneticPr fontId="12" type="noConversion"/>
  </si>
  <si>
    <r>
      <t>o</t>
    </r>
    <r>
      <rPr>
        <sz val="11"/>
        <color theme="1"/>
        <rFont val="等线"/>
        <family val="3"/>
        <charset val="134"/>
        <scheme val="minor"/>
      </rPr>
      <t>utline</t>
    </r>
    <phoneticPr fontId="12" type="noConversion"/>
  </si>
  <si>
    <r>
      <t>o</t>
    </r>
    <r>
      <rPr>
        <sz val="11"/>
        <color theme="1"/>
        <rFont val="等线"/>
        <family val="3"/>
        <charset val="134"/>
        <scheme val="minor"/>
      </rPr>
      <t>verdraft</t>
    </r>
    <phoneticPr fontId="12" type="noConversion"/>
  </si>
  <si>
    <r>
      <t>o</t>
    </r>
    <r>
      <rPr>
        <sz val="11"/>
        <color theme="1"/>
        <rFont val="等线"/>
        <family val="3"/>
        <charset val="134"/>
        <scheme val="minor"/>
      </rPr>
      <t>wner</t>
    </r>
    <phoneticPr fontId="12" type="noConversion"/>
  </si>
  <si>
    <r>
      <t>o</t>
    </r>
    <r>
      <rPr>
        <sz val="11"/>
        <color theme="1"/>
        <rFont val="等线"/>
        <family val="3"/>
        <charset val="134"/>
        <scheme val="minor"/>
      </rPr>
      <t>wnership</t>
    </r>
    <phoneticPr fontId="12" type="noConversion"/>
  </si>
  <si>
    <r>
      <t>o</t>
    </r>
    <r>
      <rPr>
        <sz val="11"/>
        <color theme="1"/>
        <rFont val="等线"/>
        <family val="3"/>
        <charset val="134"/>
        <scheme val="minor"/>
      </rPr>
      <t>xfid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</si>
  <si>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ackage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</si>
  <si>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age</t>
    </r>
    <phoneticPr fontId="12" type="noConversion"/>
  </si>
  <si>
    <t>paint</t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</si>
  <si>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ainting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</si>
  <si>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air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</si>
  <si>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ow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</si>
  <si>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alace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</si>
  <si>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anic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</si>
  <si>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aper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</si>
  <si>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assel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</si>
  <si>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arent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</si>
  <si>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ark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</si>
  <si>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arking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</si>
  <si>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articipant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</si>
  <si>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assages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</si>
  <si>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assenger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</si>
  <si>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asstime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</si>
  <si>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atient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</si>
  <si>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ayment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</si>
  <si>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edestrian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</si>
  <si>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ension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</si>
  <si>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ention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</si>
  <si>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ercent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</si>
  <si>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erformer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</si>
  <si>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erfume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</si>
  <si>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eriod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</si>
  <si>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eriodical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</si>
  <si>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erk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</si>
  <si>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ermit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</si>
  <si>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erson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</si>
  <si>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ersonality</t>
    </r>
    <phoneticPr fontId="12" type="noConversion"/>
  </si>
  <si>
    <t>pet</t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</si>
  <si>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etrol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</si>
  <si>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etrolium</t>
    </r>
    <phoneticPr fontId="12" type="noConversion"/>
  </si>
  <si>
    <t>phylosopher</t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</si>
  <si>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hoto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</si>
  <si>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hotograph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</si>
  <si>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hysician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</si>
  <si>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hysics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</si>
  <si>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ainist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</si>
  <si>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aino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</si>
  <si>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icnic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</si>
  <si>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icture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</si>
  <si>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ie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</si>
  <si>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ill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</si>
  <si>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ink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</si>
  <si>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lace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</si>
  <si>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lacement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</si>
  <si>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lan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</si>
  <si>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lanners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</si>
  <si>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lant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</si>
  <si>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lanting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</si>
  <si>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lastic</t>
    </r>
    <phoneticPr fontId="12" type="noConversion"/>
  </si>
  <si>
    <t>play</t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</si>
  <si>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layer</t>
    </r>
    <phoneticPr fontId="12" type="noConversion"/>
  </si>
  <si>
    <t>playground</t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</si>
  <si>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leasure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</si>
  <si>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ocket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</si>
  <si>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oint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</si>
  <si>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lease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</si>
  <si>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ollutant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</si>
  <si>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ollute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</si>
  <si>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ollution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</si>
  <si>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ot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</si>
  <si>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osition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</si>
  <si>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ost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</si>
  <si>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ostgraduate</t>
    </r>
    <phoneticPr fontId="12" type="noConversion"/>
  </si>
  <si>
    <t>particulars</t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</si>
  <si>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ower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</si>
  <si>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owerpoint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</si>
  <si>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recousion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</si>
  <si>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recision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</si>
  <si>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reference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</si>
  <si>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reposition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</si>
  <si>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rescription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</si>
  <si>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resentation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</si>
  <si>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reservation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</si>
  <si>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resent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</si>
  <si>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revention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</si>
  <si>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rinting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</si>
  <si>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riority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</si>
  <si>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rivacy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</si>
  <si>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rice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</si>
  <si>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roblem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</si>
  <si>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roduct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</si>
  <si>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roduction</t>
    </r>
    <phoneticPr fontId="12" type="noConversion"/>
  </si>
  <si>
    <t>professors</t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</si>
  <si>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rofit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</si>
  <si>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roject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</si>
  <si>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romotion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</si>
  <si>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rone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</si>
  <si>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roperty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</si>
  <si>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r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</si>
  <si>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rotein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</si>
  <si>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hych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</si>
  <si>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ublication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</si>
  <si>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ump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</si>
  <si>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urpose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</si>
  <si>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urse</t>
    </r>
    <phoneticPr fontId="12" type="noConversion"/>
  </si>
  <si>
    <r>
      <t>q</t>
    </r>
    <r>
      <rPr>
        <sz val="11"/>
        <color theme="1"/>
        <rFont val="等线"/>
        <family val="3"/>
        <charset val="134"/>
        <scheme val="minor"/>
      </rPr>
      <t>uality</t>
    </r>
    <phoneticPr fontId="12" type="noConversion"/>
  </si>
  <si>
    <r>
      <t>q</t>
    </r>
    <r>
      <rPr>
        <sz val="11"/>
        <color theme="1"/>
        <rFont val="等线"/>
        <family val="3"/>
        <charset val="134"/>
        <scheme val="minor"/>
      </rPr>
      <t>uantity</t>
    </r>
    <phoneticPr fontId="12" type="noConversion"/>
  </si>
  <si>
    <r>
      <t>q</t>
    </r>
    <r>
      <rPr>
        <sz val="11"/>
        <color theme="1"/>
        <rFont val="等线"/>
        <family val="3"/>
        <charset val="134"/>
        <scheme val="minor"/>
      </rPr>
      <t>uerter</t>
    </r>
    <phoneticPr fontId="12" type="noConversion"/>
  </si>
  <si>
    <r>
      <t>q</t>
    </r>
    <r>
      <rPr>
        <sz val="11"/>
        <color theme="1"/>
        <rFont val="等线"/>
        <family val="3"/>
        <charset val="134"/>
        <scheme val="minor"/>
      </rPr>
      <t>uestion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</si>
  <si>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adar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</si>
  <si>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ediator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</si>
  <si>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adio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</si>
  <si>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ailway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</si>
  <si>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ain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</si>
  <si>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ainfall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</si>
  <si>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ange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</si>
  <si>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ank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</si>
  <si>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ap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</si>
  <si>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ate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</si>
  <si>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ace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</si>
  <si>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ay</t>
    </r>
    <phoneticPr fontId="12" type="noConversion"/>
  </si>
  <si>
    <t>reader</t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</si>
  <si>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eading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</si>
  <si>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eason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</si>
  <si>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eception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</si>
  <si>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ecipe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</si>
  <si>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ecorder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</si>
  <si>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ecording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</si>
  <si>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ecreation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</si>
  <si>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ecruit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</si>
  <si>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ecycling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</si>
  <si>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eferee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</si>
  <si>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eference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</si>
  <si>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eflectant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</si>
  <si>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eform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</si>
  <si>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efuage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</si>
  <si>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egion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</si>
  <si>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egulation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</si>
  <si>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elation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</si>
  <si>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elationship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</si>
  <si>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elaxation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</si>
  <si>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elief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</si>
  <si>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eligion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</si>
  <si>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emark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</si>
  <si>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emoval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</si>
  <si>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enewal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</si>
  <si>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ent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</si>
  <si>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ental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</si>
  <si>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epetation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</si>
  <si>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eplacement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</si>
  <si>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eport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</si>
  <si>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eproduce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</si>
  <si>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esearch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</si>
  <si>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eservation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</si>
  <si>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eserve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</si>
  <si>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esidents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</si>
  <si>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esident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</si>
  <si>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esource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</si>
  <si>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espondent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</si>
  <si>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esponse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</si>
  <si>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estaurant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</si>
  <si>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esult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</si>
  <si>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etirement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</si>
  <si>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eturn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</si>
  <si>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eview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</si>
  <si>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evision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</si>
  <si>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ice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</si>
  <si>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ider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</si>
  <si>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iders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</si>
  <si>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isk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</si>
  <si>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iver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</si>
  <si>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obot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</si>
  <si>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ock</t>
    </r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</si>
  <si>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ocket</t>
    </r>
    <phoneticPr fontId="12" type="noConversion"/>
  </si>
  <si>
    <t>role</t>
    <phoneticPr fontId="12" type="noConversion"/>
  </si>
  <si>
    <t>route</t>
    <phoneticPr fontId="12" type="noConversion"/>
  </si>
  <si>
    <r>
      <t>r</t>
    </r>
    <r>
      <rPr>
        <sz val="11"/>
        <color theme="1"/>
        <rFont val="等线"/>
        <family val="3"/>
        <charset val="134"/>
        <scheme val="minor"/>
      </rPr>
      <t>ole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</si>
  <si>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afari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</si>
  <si>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afety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</si>
  <si>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ail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</si>
  <si>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ailing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</si>
  <si>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alad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</si>
  <si>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alads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</si>
  <si>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alary</t>
    </r>
    <phoneticPr fontId="12" type="noConversion"/>
  </si>
  <si>
    <t>sale</t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</si>
  <si>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alt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</si>
  <si>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ample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</si>
  <si>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amdle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</si>
  <si>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atalite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</si>
  <si>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ource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</si>
  <si>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aving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</si>
  <si>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cale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</si>
  <si>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?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</si>
  <si>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candles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</si>
  <si>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car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</si>
  <si>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cent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</si>
  <si>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chedule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</si>
  <si>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cheem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</si>
  <si>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cholar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</si>
  <si>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cholarship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</si>
  <si>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cience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</si>
  <si>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centist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</si>
  <si>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chool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</si>
  <si>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cript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</si>
  <si>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culpture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</si>
  <si>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ea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</si>
  <si>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eason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</si>
  <si>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eat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</si>
  <si>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econd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</si>
  <si>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ectary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</si>
  <si>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ection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</si>
  <si>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ector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</si>
  <si>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eceltion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</si>
  <si>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election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</si>
  <si>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eminar</t>
    </r>
    <phoneticPr fontId="12" type="noConversion"/>
  </si>
  <si>
    <t>sense</t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</si>
  <si>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entence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</si>
  <si>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ervent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</si>
  <si>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ervice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</si>
  <si>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uige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</si>
  <si>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uar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</si>
  <si>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ex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</si>
  <si>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hade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</si>
  <si>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heep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</si>
  <si>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heet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</si>
  <si>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helf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</si>
  <si>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hell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</si>
  <si>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helter</t>
    </r>
    <phoneticPr fontId="12" type="noConversion"/>
  </si>
  <si>
    <t>ship</t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</si>
  <si>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hoe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</si>
  <si>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hopper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</si>
  <si>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hortage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</si>
  <si>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hower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</si>
  <si>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ide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</si>
  <si>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ite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</si>
  <si>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ign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</si>
  <si>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igniture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</si>
  <si>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lience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</si>
  <si>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imulation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</si>
  <si>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ingle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</si>
  <si>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ize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</si>
  <si>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kating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</si>
  <si>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klton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</si>
  <si>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kill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</si>
  <si>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kin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</si>
  <si>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kert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</si>
  <si>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lung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</si>
  <si>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lave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</si>
  <si>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leep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</si>
  <si>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leeping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</si>
  <si>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nail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</si>
  <si>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moke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</si>
  <si>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moking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</si>
  <si>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nack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</si>
  <si>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oil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</si>
  <si>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olution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</si>
  <si>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ound</t>
    </r>
    <phoneticPr fontId="12" type="noConversion"/>
  </si>
  <si>
    <t>south</t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</si>
  <si>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outheast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</si>
  <si>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outhwest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</si>
  <si>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pace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</si>
  <si>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peaker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</si>
  <si>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peaking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</si>
  <si>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peed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</si>
  <si>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pending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</si>
  <si>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pider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</si>
  <si>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ponser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</si>
  <si>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poon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</si>
  <si>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portman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</si>
  <si>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port</t>
    </r>
    <phoneticPr fontId="12" type="noConversion"/>
  </si>
  <si>
    <t>stability</t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</si>
  <si>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tack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</si>
  <si>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tage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</si>
  <si>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tair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</si>
  <si>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tandard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</si>
  <si>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tar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</si>
  <si>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tarter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</si>
  <si>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tarting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</si>
  <si>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tate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</si>
  <si>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tatement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</si>
  <si>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tation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</si>
  <si>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tatus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</si>
  <si>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take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</si>
  <si>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teem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</si>
  <si>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tep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</si>
  <si>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ting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</si>
  <si>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top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</si>
  <si>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tomach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</si>
  <si>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tomachache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</si>
  <si>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tone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</si>
  <si>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tore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</si>
  <si>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tory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</si>
  <si>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trategy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</si>
  <si>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trength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</si>
  <si>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trike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</si>
  <si>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tyle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</si>
  <si>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ubject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</si>
  <si>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ubmit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</si>
  <si>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ubsity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</si>
  <si>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uburb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</si>
  <si>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ugar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</si>
  <si>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uit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</si>
  <si>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unsheld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</si>
  <si>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upervisor</t>
    </r>
    <phoneticPr fontId="12" type="noConversion"/>
  </si>
  <si>
    <t>supports</t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</si>
  <si>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urface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</si>
  <si>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urgen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</si>
  <si>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urname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</si>
  <si>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urprise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</si>
  <si>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urvey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</si>
  <si>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urvival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</si>
  <si>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weater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</si>
  <si>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witch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</si>
  <si>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witches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</si>
  <si>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imton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</si>
  <si>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??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</si>
  <si>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urup</t>
    </r>
    <phoneticPr fontId="12" type="noConversion"/>
  </si>
  <si>
    <r>
      <t>s</t>
    </r>
    <r>
      <rPr>
        <sz val="11"/>
        <color theme="1"/>
        <rFont val="等线"/>
        <family val="3"/>
        <charset val="134"/>
        <scheme val="minor"/>
      </rPr>
      <t>ystem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</si>
  <si>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able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</si>
  <si>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ablet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</si>
  <si>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ape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</si>
  <si>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ax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</si>
  <si>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ea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</si>
  <si>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eacher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</si>
  <si>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eaching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</si>
  <si>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eam</t>
    </r>
    <phoneticPr fontId="12" type="noConversion"/>
  </si>
  <si>
    <r>
      <t>j</t>
    </r>
    <r>
      <rPr>
        <sz val="11"/>
        <color theme="1"/>
        <rFont val="等线"/>
        <family val="3"/>
        <charset val="134"/>
        <scheme val="minor"/>
      </rPr>
      <t>argon</t>
    </r>
    <phoneticPr fontId="12" type="noConversion"/>
  </si>
  <si>
    <t>term</t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</si>
  <si>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echnology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</si>
  <si>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e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</si>
  <si>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elephone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</si>
  <si>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elescopre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</si>
  <si>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elevision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</si>
  <si>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emper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</si>
  <si>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emple</t>
    </r>
    <phoneticPr fontId="12" type="noConversion"/>
  </si>
  <si>
    <t>text</t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</si>
  <si>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exture</t>
    </r>
    <phoneticPr fontId="12" type="noConversion"/>
  </si>
  <si>
    <r>
      <t>g</t>
    </r>
    <r>
      <rPr>
        <sz val="11"/>
        <color theme="1"/>
        <rFont val="等线"/>
        <family val="3"/>
        <charset val="134"/>
        <scheme val="minor"/>
      </rPr>
      <t>alaxy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</si>
  <si>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heft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</si>
  <si>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heory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</si>
  <si>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heorist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</si>
  <si>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herapy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</si>
  <si>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hief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</si>
  <si>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h?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</si>
  <si>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hinking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</si>
  <si>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hird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</si>
  <si>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hought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</si>
  <si>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hreat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</si>
  <si>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hrealer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</si>
  <si>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icket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</si>
  <si>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ide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</si>
  <si>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ides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</si>
  <si>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ile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</si>
  <si>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imber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</si>
  <si>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ime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</si>
  <si>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itle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</si>
  <si>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oaster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</si>
  <si>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olet</t>
    </r>
    <phoneticPr fontId="12" type="noConversion"/>
  </si>
  <si>
    <t>tomato</t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</si>
  <si>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one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</si>
  <si>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ool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</si>
  <si>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op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</si>
  <si>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opic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</si>
  <si>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otal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</si>
  <si>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ouching</t>
    </r>
    <phoneticPr fontId="12" type="noConversion"/>
  </si>
  <si>
    <t>tour</t>
    <phoneticPr fontId="12" type="noConversion"/>
  </si>
  <si>
    <t>touring</t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</si>
  <si>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ourism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</si>
  <si>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ourist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</si>
  <si>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owel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</si>
  <si>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ower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</si>
  <si>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own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</si>
  <si>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rack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</si>
  <si>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ractor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</si>
  <si>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rade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</si>
  <si>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ram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</si>
  <si>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r?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</si>
  <si>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railor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</si>
  <si>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raining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</si>
  <si>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rend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</si>
  <si>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ravel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</si>
  <si>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raveler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</si>
  <si>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reatment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</si>
  <si>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rip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</si>
  <si>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ride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</si>
  <si>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ribute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</si>
  <si>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ributes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</si>
  <si>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rinite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</si>
  <si>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rouble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</si>
  <si>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ube</t>
    </r>
    <phoneticPr fontId="12" type="noConversion"/>
  </si>
  <si>
    <t>tunnels</t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</si>
  <si>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uition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</si>
  <si>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une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</si>
  <si>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unes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</si>
  <si>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utor</t>
    </r>
    <phoneticPr fontId="12" type="noConversion"/>
  </si>
  <si>
    <r>
      <t>t</t>
    </r>
    <r>
      <rPr>
        <sz val="11"/>
        <color theme="1"/>
        <rFont val="等线"/>
        <family val="3"/>
        <charset val="134"/>
        <scheme val="minor"/>
      </rPr>
      <t>ype</t>
    </r>
    <phoneticPr fontId="12" type="noConversion"/>
  </si>
  <si>
    <r>
      <t>e</t>
    </r>
    <r>
      <rPr>
        <sz val="11"/>
        <color theme="1"/>
        <rFont val="等线"/>
        <family val="3"/>
        <charset val="134"/>
        <scheme val="minor"/>
      </rPr>
      <t>mperior</t>
    </r>
    <phoneticPr fontId="12" type="noConversion"/>
  </si>
  <si>
    <r>
      <t>u</t>
    </r>
    <r>
      <rPr>
        <sz val="11"/>
        <color theme="1"/>
        <rFont val="等线"/>
        <family val="3"/>
        <charset val="134"/>
        <scheme val="minor"/>
      </rPr>
      <t>nderstanding</t>
    </r>
    <phoneticPr fontId="12" type="noConversion"/>
  </si>
  <si>
    <r>
      <t>u</t>
    </r>
    <r>
      <rPr>
        <sz val="11"/>
        <color theme="1"/>
        <rFont val="等线"/>
        <family val="3"/>
        <charset val="134"/>
        <scheme val="minor"/>
      </rPr>
      <t>ntencials</t>
    </r>
    <phoneticPr fontId="12" type="noConversion"/>
  </si>
  <si>
    <r>
      <t>u</t>
    </r>
    <r>
      <rPr>
        <sz val="11"/>
        <color theme="1"/>
        <rFont val="等线"/>
        <family val="3"/>
        <charset val="134"/>
        <scheme val="minor"/>
      </rPr>
      <t>niform</t>
    </r>
    <phoneticPr fontId="12" type="noConversion"/>
  </si>
  <si>
    <r>
      <t>u</t>
    </r>
    <r>
      <rPr>
        <sz val="11"/>
        <color theme="1"/>
        <rFont val="等线"/>
        <family val="3"/>
        <charset val="134"/>
        <scheme val="minor"/>
      </rPr>
      <t>nion</t>
    </r>
    <phoneticPr fontId="12" type="noConversion"/>
  </si>
  <si>
    <r>
      <t>u</t>
    </r>
    <r>
      <rPr>
        <sz val="11"/>
        <color theme="1"/>
        <rFont val="等线"/>
        <family val="3"/>
        <charset val="134"/>
        <scheme val="minor"/>
      </rPr>
      <t>niversity</t>
    </r>
    <phoneticPr fontId="12" type="noConversion"/>
  </si>
  <si>
    <r>
      <t>u</t>
    </r>
    <r>
      <rPr>
        <sz val="11"/>
        <color theme="1"/>
        <rFont val="等线"/>
        <family val="3"/>
        <charset val="134"/>
        <scheme val="minor"/>
      </rPr>
      <t>sage</t>
    </r>
    <phoneticPr fontId="12" type="noConversion"/>
  </si>
  <si>
    <r>
      <t>v</t>
    </r>
    <r>
      <rPr>
        <sz val="11"/>
        <color theme="1"/>
        <rFont val="等线"/>
        <family val="3"/>
        <charset val="134"/>
        <scheme val="minor"/>
      </rPr>
      <t>ancay</t>
    </r>
    <phoneticPr fontId="12" type="noConversion"/>
  </si>
  <si>
    <r>
      <t>v</t>
    </r>
    <r>
      <rPr>
        <sz val="11"/>
        <color theme="1"/>
        <rFont val="等线"/>
        <family val="3"/>
        <charset val="134"/>
        <scheme val="minor"/>
      </rPr>
      <t>acation</t>
    </r>
    <phoneticPr fontId="12" type="noConversion"/>
  </si>
  <si>
    <r>
      <t>v</t>
    </r>
    <r>
      <rPr>
        <sz val="11"/>
        <color theme="1"/>
        <rFont val="等线"/>
        <family val="3"/>
        <charset val="134"/>
        <scheme val="minor"/>
      </rPr>
      <t>alue</t>
    </r>
    <phoneticPr fontId="12" type="noConversion"/>
  </si>
  <si>
    <r>
      <t>p</t>
    </r>
    <r>
      <rPr>
        <sz val="11"/>
        <color theme="1"/>
        <rFont val="等线"/>
        <family val="3"/>
        <charset val="134"/>
        <scheme val="minor"/>
      </rPr>
      <t>artici</t>
    </r>
    <phoneticPr fontId="12" type="noConversion"/>
  </si>
  <si>
    <r>
      <t>v</t>
    </r>
    <r>
      <rPr>
        <sz val="11"/>
        <color theme="1"/>
        <rFont val="等线"/>
        <family val="3"/>
        <charset val="134"/>
        <scheme val="minor"/>
      </rPr>
      <t>ariety</t>
    </r>
    <phoneticPr fontId="12" type="noConversion"/>
  </si>
  <si>
    <r>
      <t>v</t>
    </r>
    <r>
      <rPr>
        <sz val="11"/>
        <color theme="1"/>
        <rFont val="等线"/>
        <family val="3"/>
        <charset val="134"/>
        <scheme val="minor"/>
      </rPr>
      <t>egetable</t>
    </r>
    <phoneticPr fontId="12" type="noConversion"/>
  </si>
  <si>
    <r>
      <t>v</t>
    </r>
    <r>
      <rPr>
        <sz val="11"/>
        <color theme="1"/>
        <rFont val="等线"/>
        <family val="3"/>
        <charset val="134"/>
        <scheme val="minor"/>
      </rPr>
      <t>elvet</t>
    </r>
    <phoneticPr fontId="12" type="noConversion"/>
  </si>
  <si>
    <r>
      <t>v</t>
    </r>
    <r>
      <rPr>
        <sz val="11"/>
        <color theme="1"/>
        <rFont val="等线"/>
        <family val="3"/>
        <charset val="134"/>
        <scheme val="minor"/>
      </rPr>
      <t>et</t>
    </r>
    <phoneticPr fontId="12" type="noConversion"/>
  </si>
  <si>
    <r>
      <t>v</t>
    </r>
    <r>
      <rPr>
        <sz val="11"/>
        <color theme="1"/>
        <rFont val="等线"/>
        <family val="3"/>
        <charset val="134"/>
        <scheme val="minor"/>
      </rPr>
      <t>ideo</t>
    </r>
    <phoneticPr fontId="12" type="noConversion"/>
  </si>
  <si>
    <r>
      <t>v</t>
    </r>
    <r>
      <rPr>
        <sz val="11"/>
        <color theme="1"/>
        <rFont val="等线"/>
        <family val="3"/>
        <charset val="134"/>
        <scheme val="minor"/>
      </rPr>
      <t>iew</t>
    </r>
    <phoneticPr fontId="12" type="noConversion"/>
  </si>
  <si>
    <r>
      <t>v</t>
    </r>
    <r>
      <rPr>
        <sz val="11"/>
        <color theme="1"/>
        <rFont val="等线"/>
        <family val="3"/>
        <charset val="134"/>
        <scheme val="minor"/>
      </rPr>
      <t>illage</t>
    </r>
    <phoneticPr fontId="12" type="noConversion"/>
  </si>
  <si>
    <r>
      <t>v</t>
    </r>
    <r>
      <rPr>
        <sz val="11"/>
        <color theme="1"/>
        <rFont val="等线"/>
        <family val="3"/>
        <charset val="134"/>
        <scheme val="minor"/>
      </rPr>
      <t>inega</t>
    </r>
    <phoneticPr fontId="12" type="noConversion"/>
  </si>
  <si>
    <r>
      <t>v</t>
    </r>
    <r>
      <rPr>
        <sz val="11"/>
        <color theme="1"/>
        <rFont val="等线"/>
        <family val="3"/>
        <charset val="134"/>
        <scheme val="minor"/>
      </rPr>
      <t>isa</t>
    </r>
    <phoneticPr fontId="12" type="noConversion"/>
  </si>
  <si>
    <r>
      <t>v</t>
    </r>
    <r>
      <rPr>
        <sz val="11"/>
        <color theme="1"/>
        <rFont val="等线"/>
        <family val="3"/>
        <charset val="134"/>
        <scheme val="minor"/>
      </rPr>
      <t>isitor</t>
    </r>
    <phoneticPr fontId="12" type="noConversion"/>
  </si>
  <si>
    <r>
      <t>v</t>
    </r>
    <r>
      <rPr>
        <sz val="11"/>
        <color theme="1"/>
        <rFont val="等线"/>
        <family val="3"/>
        <charset val="134"/>
        <scheme val="minor"/>
      </rPr>
      <t>inetamin</t>
    </r>
    <phoneticPr fontId="12" type="noConversion"/>
  </si>
  <si>
    <r>
      <t>v</t>
    </r>
    <r>
      <rPr>
        <sz val="11"/>
        <color theme="1"/>
        <rFont val="等线"/>
        <family val="3"/>
        <charset val="134"/>
        <scheme val="minor"/>
      </rPr>
      <t>ocation</t>
    </r>
    <phoneticPr fontId="12" type="noConversion"/>
  </si>
  <si>
    <r>
      <t>v</t>
    </r>
    <r>
      <rPr>
        <sz val="11"/>
        <color theme="1"/>
        <rFont val="等线"/>
        <family val="3"/>
        <charset val="134"/>
        <scheme val="minor"/>
      </rPr>
      <t>olunteer</t>
    </r>
    <phoneticPr fontId="12" type="noConversion"/>
  </si>
  <si>
    <r>
      <t>v</t>
    </r>
    <r>
      <rPr>
        <sz val="11"/>
        <color theme="1"/>
        <rFont val="等线"/>
        <family val="3"/>
        <charset val="134"/>
        <scheme val="minor"/>
      </rPr>
      <t>olunteers</t>
    </r>
    <phoneticPr fontId="12" type="noConversion"/>
  </si>
  <si>
    <r>
      <t>w</t>
    </r>
    <r>
      <rPr>
        <sz val="11"/>
        <color theme="1"/>
        <rFont val="等线"/>
        <family val="3"/>
        <charset val="134"/>
        <scheme val="minor"/>
      </rPr>
      <t>aist</t>
    </r>
    <phoneticPr fontId="12" type="noConversion"/>
  </si>
  <si>
    <r>
      <t>w</t>
    </r>
    <r>
      <rPr>
        <sz val="11"/>
        <color theme="1"/>
        <rFont val="等线"/>
        <family val="3"/>
        <charset val="134"/>
        <scheme val="minor"/>
      </rPr>
      <t>aiter</t>
    </r>
    <phoneticPr fontId="12" type="noConversion"/>
  </si>
  <si>
    <r>
      <t>w</t>
    </r>
    <r>
      <rPr>
        <sz val="11"/>
        <color theme="1"/>
        <rFont val="等线"/>
        <family val="3"/>
        <charset val="134"/>
        <scheme val="minor"/>
      </rPr>
      <t>alk</t>
    </r>
    <phoneticPr fontId="12" type="noConversion"/>
  </si>
  <si>
    <r>
      <t>w</t>
    </r>
    <r>
      <rPr>
        <sz val="11"/>
        <color theme="1"/>
        <rFont val="等线"/>
        <family val="3"/>
        <charset val="134"/>
        <scheme val="minor"/>
      </rPr>
      <t>alking</t>
    </r>
    <phoneticPr fontId="12" type="noConversion"/>
  </si>
  <si>
    <r>
      <t>w</t>
    </r>
    <r>
      <rPr>
        <sz val="11"/>
        <color theme="1"/>
        <rFont val="等线"/>
        <family val="3"/>
        <charset val="134"/>
        <scheme val="minor"/>
      </rPr>
      <t>all</t>
    </r>
    <phoneticPr fontId="12" type="noConversion"/>
  </si>
  <si>
    <r>
      <t>w</t>
    </r>
    <r>
      <rPr>
        <sz val="11"/>
        <color theme="1"/>
        <rFont val="等线"/>
        <family val="3"/>
        <charset val="134"/>
        <scheme val="minor"/>
      </rPr>
      <t>orld</t>
    </r>
    <phoneticPr fontId="12" type="noConversion"/>
  </si>
  <si>
    <r>
      <t>w</t>
    </r>
    <r>
      <rPr>
        <sz val="11"/>
        <color theme="1"/>
        <rFont val="等线"/>
        <family val="3"/>
        <charset val="134"/>
        <scheme val="minor"/>
      </rPr>
      <t>arming</t>
    </r>
    <phoneticPr fontId="12" type="noConversion"/>
  </si>
  <si>
    <r>
      <t>w</t>
    </r>
    <r>
      <rPr>
        <sz val="11"/>
        <color theme="1"/>
        <rFont val="等线"/>
        <family val="3"/>
        <charset val="134"/>
        <scheme val="minor"/>
      </rPr>
      <t>ashing</t>
    </r>
    <phoneticPr fontId="12" type="noConversion"/>
  </si>
  <si>
    <r>
      <t>w</t>
    </r>
    <r>
      <rPr>
        <sz val="11"/>
        <color theme="1"/>
        <rFont val="等线"/>
        <family val="3"/>
        <charset val="134"/>
        <scheme val="minor"/>
      </rPr>
      <t>asp</t>
    </r>
    <phoneticPr fontId="12" type="noConversion"/>
  </si>
  <si>
    <r>
      <t>w</t>
    </r>
    <r>
      <rPr>
        <sz val="11"/>
        <color theme="1"/>
        <rFont val="等线"/>
        <family val="3"/>
        <charset val="134"/>
        <scheme val="minor"/>
      </rPr>
      <t>aste</t>
    </r>
    <phoneticPr fontId="12" type="noConversion"/>
  </si>
  <si>
    <r>
      <t>w</t>
    </r>
    <r>
      <rPr>
        <sz val="11"/>
        <color theme="1"/>
        <rFont val="等线"/>
        <family val="3"/>
        <charset val="134"/>
        <scheme val="minor"/>
      </rPr>
      <t>asteland</t>
    </r>
    <phoneticPr fontId="12" type="noConversion"/>
  </si>
  <si>
    <r>
      <t>w</t>
    </r>
    <r>
      <rPr>
        <sz val="11"/>
        <color theme="1"/>
        <rFont val="等线"/>
        <family val="3"/>
        <charset val="134"/>
        <scheme val="minor"/>
      </rPr>
      <t>ater</t>
    </r>
    <phoneticPr fontId="12" type="noConversion"/>
  </si>
  <si>
    <r>
      <t>w</t>
    </r>
    <r>
      <rPr>
        <sz val="11"/>
        <color theme="1"/>
        <rFont val="等线"/>
        <family val="3"/>
        <charset val="134"/>
        <scheme val="minor"/>
      </rPr>
      <t>ave</t>
    </r>
    <phoneticPr fontId="12" type="noConversion"/>
  </si>
  <si>
    <r>
      <t>w</t>
    </r>
    <r>
      <rPr>
        <sz val="11"/>
        <color theme="1"/>
        <rFont val="等线"/>
        <family val="3"/>
        <charset val="134"/>
        <scheme val="minor"/>
      </rPr>
      <t>ax</t>
    </r>
    <phoneticPr fontId="12" type="noConversion"/>
  </si>
  <si>
    <r>
      <t>w</t>
    </r>
    <r>
      <rPr>
        <sz val="11"/>
        <color theme="1"/>
        <rFont val="等线"/>
        <family val="3"/>
        <charset val="134"/>
        <scheme val="minor"/>
      </rPr>
      <t>ealth</t>
    </r>
    <phoneticPr fontId="12" type="noConversion"/>
  </si>
  <si>
    <r>
      <t>w</t>
    </r>
    <r>
      <rPr>
        <sz val="11"/>
        <color theme="1"/>
        <rFont val="等线"/>
        <family val="3"/>
        <charset val="134"/>
        <scheme val="minor"/>
      </rPr>
      <t>eapon</t>
    </r>
    <phoneticPr fontId="12" type="noConversion"/>
  </si>
  <si>
    <r>
      <t>w</t>
    </r>
    <r>
      <rPr>
        <sz val="11"/>
        <color theme="1"/>
        <rFont val="等线"/>
        <family val="3"/>
        <charset val="134"/>
        <scheme val="minor"/>
      </rPr>
      <t>eather</t>
    </r>
    <phoneticPr fontId="12" type="noConversion"/>
  </si>
  <si>
    <r>
      <t>w</t>
    </r>
    <r>
      <rPr>
        <sz val="11"/>
        <color theme="1"/>
        <rFont val="等线"/>
        <family val="3"/>
        <charset val="134"/>
        <scheme val="minor"/>
      </rPr>
      <t>eat</t>
    </r>
    <phoneticPr fontId="12" type="noConversion"/>
  </si>
  <si>
    <r>
      <t>w</t>
    </r>
    <r>
      <rPr>
        <sz val="11"/>
        <color theme="1"/>
        <rFont val="等线"/>
        <family val="3"/>
        <charset val="134"/>
        <scheme val="minor"/>
      </rPr>
      <t>eak</t>
    </r>
    <phoneticPr fontId="12" type="noConversion"/>
  </si>
  <si>
    <r>
      <t>w</t>
    </r>
    <r>
      <rPr>
        <sz val="11"/>
        <color theme="1"/>
        <rFont val="等线"/>
        <family val="3"/>
        <charset val="134"/>
        <scheme val="minor"/>
      </rPr>
      <t>eekday</t>
    </r>
    <phoneticPr fontId="12" type="noConversion"/>
  </si>
  <si>
    <r>
      <t>w</t>
    </r>
    <r>
      <rPr>
        <sz val="11"/>
        <color theme="1"/>
        <rFont val="等线"/>
        <family val="3"/>
        <charset val="134"/>
        <scheme val="minor"/>
      </rPr>
      <t>eekend</t>
    </r>
    <phoneticPr fontId="12" type="noConversion"/>
  </si>
  <si>
    <r>
      <t>w</t>
    </r>
    <r>
      <rPr>
        <sz val="11"/>
        <color theme="1"/>
        <rFont val="等线"/>
        <family val="3"/>
        <charset val="134"/>
        <scheme val="minor"/>
      </rPr>
      <t>ait</t>
    </r>
    <phoneticPr fontId="12" type="noConversion"/>
  </si>
  <si>
    <r>
      <t>w</t>
    </r>
    <r>
      <rPr>
        <sz val="11"/>
        <color theme="1"/>
        <rFont val="等线"/>
        <family val="3"/>
        <charset val="134"/>
        <scheme val="minor"/>
      </rPr>
      <t>elfare</t>
    </r>
    <phoneticPr fontId="12" type="noConversion"/>
  </si>
  <si>
    <r>
      <t>w</t>
    </r>
    <r>
      <rPr>
        <sz val="11"/>
        <color theme="1"/>
        <rFont val="等线"/>
        <family val="3"/>
        <charset val="134"/>
        <scheme val="minor"/>
      </rPr>
      <t>est</t>
    </r>
    <phoneticPr fontId="12" type="noConversion"/>
  </si>
  <si>
    <r>
      <t>w</t>
    </r>
    <r>
      <rPr>
        <sz val="11"/>
        <color theme="1"/>
        <rFont val="等线"/>
        <family val="3"/>
        <charset val="134"/>
        <scheme val="minor"/>
      </rPr>
      <t>etland</t>
    </r>
    <phoneticPr fontId="12" type="noConversion"/>
  </si>
  <si>
    <r>
      <t>w</t>
    </r>
    <r>
      <rPr>
        <sz val="11"/>
        <color theme="1"/>
        <rFont val="等线"/>
        <family val="3"/>
        <charset val="134"/>
        <scheme val="minor"/>
      </rPr>
      <t>ail</t>
    </r>
    <phoneticPr fontId="12" type="noConversion"/>
  </si>
  <si>
    <r>
      <t>w</t>
    </r>
    <r>
      <rPr>
        <sz val="11"/>
        <color theme="1"/>
        <rFont val="等线"/>
        <family val="3"/>
        <charset val="134"/>
        <scheme val="minor"/>
      </rPr>
      <t>heel</t>
    </r>
    <phoneticPr fontId="12" type="noConversion"/>
  </si>
  <si>
    <r>
      <t>w</t>
    </r>
    <r>
      <rPr>
        <sz val="11"/>
        <color theme="1"/>
        <rFont val="等线"/>
        <family val="3"/>
        <charset val="134"/>
        <scheme val="minor"/>
      </rPr>
      <t>idth</t>
    </r>
    <phoneticPr fontId="12" type="noConversion"/>
  </si>
  <si>
    <t>willows</t>
    <phoneticPr fontId="12" type="noConversion"/>
  </si>
  <si>
    <r>
      <t>w</t>
    </r>
    <r>
      <rPr>
        <sz val="11"/>
        <color theme="1"/>
        <rFont val="等线"/>
        <family val="3"/>
        <charset val="134"/>
        <scheme val="minor"/>
      </rPr>
      <t>ind</t>
    </r>
    <phoneticPr fontId="12" type="noConversion"/>
  </si>
  <si>
    <r>
      <t>w</t>
    </r>
    <r>
      <rPr>
        <sz val="11"/>
        <color theme="1"/>
        <rFont val="等线"/>
        <family val="3"/>
        <charset val="134"/>
        <scheme val="minor"/>
      </rPr>
      <t>ing</t>
    </r>
    <phoneticPr fontId="12" type="noConversion"/>
  </si>
  <si>
    <r>
      <t>w</t>
    </r>
    <r>
      <rPr>
        <sz val="11"/>
        <color theme="1"/>
        <rFont val="等线"/>
        <family val="3"/>
        <charset val="134"/>
        <scheme val="minor"/>
      </rPr>
      <t>orkforce</t>
    </r>
    <phoneticPr fontId="12" type="noConversion"/>
  </si>
  <si>
    <r>
      <t>w</t>
    </r>
    <r>
      <rPr>
        <sz val="11"/>
        <color theme="1"/>
        <rFont val="等线"/>
        <family val="3"/>
        <charset val="134"/>
        <scheme val="minor"/>
      </rPr>
      <t>orking</t>
    </r>
    <phoneticPr fontId="12" type="noConversion"/>
  </si>
  <si>
    <r>
      <t>w</t>
    </r>
    <r>
      <rPr>
        <sz val="11"/>
        <color theme="1"/>
        <rFont val="等线"/>
        <family val="3"/>
        <charset val="134"/>
        <scheme val="minor"/>
      </rPr>
      <t>ond</t>
    </r>
    <phoneticPr fontId="12" type="noConversion"/>
  </si>
  <si>
    <r>
      <t>w</t>
    </r>
    <r>
      <rPr>
        <sz val="11"/>
        <color theme="1"/>
        <rFont val="等线"/>
        <family val="3"/>
        <charset val="134"/>
        <scheme val="minor"/>
      </rPr>
      <t>riting</t>
    </r>
    <phoneticPr fontId="12" type="noConversion"/>
  </si>
  <si>
    <r>
      <t>y</t>
    </r>
    <r>
      <rPr>
        <sz val="11"/>
        <color theme="1"/>
        <rFont val="等线"/>
        <family val="3"/>
        <charset val="134"/>
        <scheme val="minor"/>
      </rPr>
      <t>ear</t>
    </r>
    <phoneticPr fontId="12" type="noConversion"/>
  </si>
  <si>
    <r>
      <t>y</t>
    </r>
    <r>
      <rPr>
        <sz val="11"/>
        <color theme="1"/>
        <rFont val="等线"/>
        <family val="3"/>
        <charset val="134"/>
        <scheme val="minor"/>
      </rPr>
      <t>oga</t>
    </r>
    <phoneticPr fontId="12" type="noConversion"/>
  </si>
  <si>
    <r>
      <t>y</t>
    </r>
    <r>
      <rPr>
        <sz val="11"/>
        <color theme="1"/>
        <rFont val="等线"/>
        <family val="3"/>
        <charset val="134"/>
        <scheme val="minor"/>
      </rPr>
      <t>outh</t>
    </r>
    <phoneticPr fontId="12" type="noConversion"/>
  </si>
  <si>
    <r>
      <t>z</t>
    </r>
    <r>
      <rPr>
        <sz val="11"/>
        <color theme="1"/>
        <rFont val="等线"/>
        <family val="3"/>
        <charset val="134"/>
        <scheme val="minor"/>
      </rPr>
      <t>ero</t>
    </r>
    <phoneticPr fontId="12" type="noConversion"/>
  </si>
  <si>
    <t>care</t>
    <phoneticPr fontId="12" type="noConversion"/>
  </si>
  <si>
    <t>purpose</t>
    <phoneticPr fontId="12" type="noConversion"/>
  </si>
  <si>
    <t>encyclopedia</t>
    <phoneticPr fontId="12" type="noConversion"/>
  </si>
  <si>
    <t>facility</t>
    <phoneticPr fontId="12" type="noConversion"/>
  </si>
  <si>
    <t>wax</t>
    <phoneticPr fontId="12" type="noConversion"/>
  </si>
  <si>
    <t>survival</t>
    <phoneticPr fontId="12" type="noConversion"/>
  </si>
  <si>
    <t>bedsheet</t>
  </si>
  <si>
    <t/>
  </si>
  <si>
    <t>academic</t>
    <phoneticPr fontId="11" type="noConversion"/>
  </si>
  <si>
    <t>accessible</t>
    <phoneticPr fontId="11" type="noConversion"/>
  </si>
  <si>
    <t>accountable</t>
    <phoneticPr fontId="11" type="noConversion"/>
  </si>
  <si>
    <t>accurat</t>
    <phoneticPr fontId="11" type="noConversion"/>
  </si>
  <si>
    <t>additional</t>
    <phoneticPr fontId="11" type="noConversion"/>
  </si>
  <si>
    <t>adequate</t>
    <phoneticPr fontId="11" type="noConversion"/>
  </si>
  <si>
    <t>advanced</t>
    <phoneticPr fontId="11" type="noConversion"/>
  </si>
  <si>
    <t>advisible</t>
    <phoneticPr fontId="11" type="noConversion"/>
  </si>
  <si>
    <t>allergic</t>
    <phoneticPr fontId="11" type="noConversion"/>
  </si>
  <si>
    <t>alternitive</t>
    <phoneticPr fontId="11" type="noConversion"/>
  </si>
  <si>
    <t>amazing</t>
    <phoneticPr fontId="11" type="noConversion"/>
  </si>
  <si>
    <t>ambigous</t>
    <phoneticPr fontId="11" type="noConversion"/>
  </si>
  <si>
    <t>ambitious</t>
    <phoneticPr fontId="11" type="noConversion"/>
  </si>
  <si>
    <t>analiticle</t>
    <phoneticPr fontId="11" type="noConversion"/>
  </si>
  <si>
    <t>ancient</t>
    <phoneticPr fontId="11" type="noConversion"/>
  </si>
  <si>
    <t>angry</t>
    <phoneticPr fontId="11" type="noConversion"/>
  </si>
  <si>
    <t>applied</t>
    <phoneticPr fontId="11" type="noConversion"/>
  </si>
  <si>
    <t>archelogical</t>
    <phoneticPr fontId="11" type="noConversion"/>
  </si>
  <si>
    <t>artificial</t>
    <phoneticPr fontId="11" type="noConversion"/>
  </si>
  <si>
    <t>artistic</t>
    <phoneticPr fontId="11" type="noConversion"/>
  </si>
  <si>
    <t>asending</t>
    <phoneticPr fontId="11" type="noConversion"/>
  </si>
  <si>
    <t>?</t>
    <phoneticPr fontId="11" type="noConversion"/>
  </si>
  <si>
    <t>attentive</t>
    <phoneticPr fontId="11" type="noConversion"/>
  </si>
  <si>
    <t>audio</t>
    <phoneticPr fontId="11" type="noConversion"/>
  </si>
  <si>
    <t>available</t>
    <phoneticPr fontId="11" type="noConversion"/>
  </si>
  <si>
    <t>aware</t>
    <phoneticPr fontId="11" type="noConversion"/>
  </si>
  <si>
    <t>awful</t>
    <phoneticPr fontId="11" type="noConversion"/>
  </si>
  <si>
    <t>bold</t>
    <phoneticPr fontId="11" type="noConversion"/>
  </si>
  <si>
    <t>barren</t>
    <phoneticPr fontId="11" type="noConversion"/>
  </si>
  <si>
    <t>basic</t>
    <phoneticPr fontId="11" type="noConversion"/>
  </si>
  <si>
    <t>beautiful</t>
    <phoneticPr fontId="11" type="noConversion"/>
  </si>
  <si>
    <t>biological</t>
    <phoneticPr fontId="11" type="noConversion"/>
  </si>
  <si>
    <t>blind</t>
    <phoneticPr fontId="11" type="noConversion"/>
  </si>
  <si>
    <t>blond</t>
    <phoneticPr fontId="11" type="noConversion"/>
  </si>
  <si>
    <t>broud</t>
    <phoneticPr fontId="11" type="noConversion"/>
  </si>
  <si>
    <t>burried</t>
    <phoneticPr fontId="11" type="noConversion"/>
  </si>
  <si>
    <t>calculating</t>
    <phoneticPr fontId="11" type="noConversion"/>
  </si>
  <si>
    <t>casule</t>
    <phoneticPr fontId="11" type="noConversion"/>
  </si>
  <si>
    <t>central</t>
    <phoneticPr fontId="11" type="noConversion"/>
  </si>
  <si>
    <t>challenging</t>
    <phoneticPr fontId="11" type="noConversion"/>
  </si>
  <si>
    <t>cheaper</t>
    <phoneticPr fontId="11" type="noConversion"/>
  </si>
  <si>
    <t>cheerful</t>
    <phoneticPr fontId="11" type="noConversion"/>
  </si>
  <si>
    <t>children</t>
    <phoneticPr fontId="11" type="noConversion"/>
  </si>
  <si>
    <t>classical</t>
    <phoneticPr fontId="11" type="noConversion"/>
  </si>
  <si>
    <t>clean</t>
    <phoneticPr fontId="11" type="noConversion"/>
  </si>
  <si>
    <t>cleanest</t>
    <phoneticPr fontId="11" type="noConversion"/>
  </si>
  <si>
    <t>clear</t>
    <phoneticPr fontId="11" type="noConversion"/>
  </si>
  <si>
    <t>clever</t>
    <phoneticPr fontId="11" type="noConversion"/>
  </si>
  <si>
    <t>coastal</t>
    <phoneticPr fontId="11" type="noConversion"/>
  </si>
  <si>
    <t>comfortable</t>
    <phoneticPr fontId="11" type="noConversion"/>
  </si>
  <si>
    <t>common</t>
    <phoneticPr fontId="11" type="noConversion"/>
  </si>
  <si>
    <t>commonsense</t>
    <phoneticPr fontId="11" type="noConversion"/>
  </si>
  <si>
    <t>complete</t>
    <phoneticPr fontId="11" type="noConversion"/>
  </si>
  <si>
    <t>completed</t>
    <phoneticPr fontId="11" type="noConversion"/>
  </si>
  <si>
    <t>confident</t>
    <phoneticPr fontId="11" type="noConversion"/>
  </si>
  <si>
    <t>conservative</t>
    <phoneticPr fontId="11" type="noConversion"/>
  </si>
  <si>
    <t>convenient</t>
    <phoneticPr fontId="11" type="noConversion"/>
  </si>
  <si>
    <t>cooperative</t>
    <phoneticPr fontId="11" type="noConversion"/>
  </si>
  <si>
    <t>corrapt</t>
    <phoneticPr fontId="11" type="noConversion"/>
  </si>
  <si>
    <t>costly</t>
    <phoneticPr fontId="11" type="noConversion"/>
  </si>
  <si>
    <t>cream</t>
    <phoneticPr fontId="11" type="noConversion"/>
  </si>
  <si>
    <t>critical</t>
    <phoneticPr fontId="11" type="noConversion"/>
  </si>
  <si>
    <t>critial</t>
    <phoneticPr fontId="11" type="noConversion"/>
  </si>
  <si>
    <t>cultral</t>
    <phoneticPr fontId="11" type="noConversion"/>
  </si>
  <si>
    <t>curly</t>
    <phoneticPr fontId="11" type="noConversion"/>
  </si>
  <si>
    <t>current</t>
    <phoneticPr fontId="11" type="noConversion"/>
  </si>
  <si>
    <t>daily</t>
    <phoneticPr fontId="11" type="noConversion"/>
  </si>
  <si>
    <t>diary</t>
    <phoneticPr fontId="11" type="noConversion"/>
  </si>
  <si>
    <t>dangerous</t>
    <phoneticPr fontId="11" type="noConversion"/>
  </si>
  <si>
    <t>dark</t>
    <phoneticPr fontId="11" type="noConversion"/>
  </si>
  <si>
    <t>departmental</t>
    <phoneticPr fontId="11" type="noConversion"/>
  </si>
  <si>
    <t>dependent</t>
    <phoneticPr fontId="11" type="noConversion"/>
  </si>
  <si>
    <t>detail</t>
    <phoneticPr fontId="11" type="noConversion"/>
  </si>
  <si>
    <t>different</t>
    <phoneticPr fontId="11" type="noConversion"/>
  </si>
  <si>
    <t>direct</t>
    <phoneticPr fontId="11" type="noConversion"/>
  </si>
  <si>
    <t>disabled</t>
    <phoneticPr fontId="11" type="noConversion"/>
  </si>
  <si>
    <t>distant</t>
    <phoneticPr fontId="11" type="noConversion"/>
  </si>
  <si>
    <t>distent</t>
    <phoneticPr fontId="11" type="noConversion"/>
  </si>
  <si>
    <t>domestic</t>
    <phoneticPr fontId="11" type="noConversion"/>
  </si>
  <si>
    <t>dominant</t>
    <phoneticPr fontId="11" type="noConversion"/>
  </si>
  <si>
    <t>eastern</t>
    <phoneticPr fontId="11" type="noConversion"/>
  </si>
  <si>
    <t>educational</t>
    <phoneticPr fontId="11" type="noConversion"/>
  </si>
  <si>
    <t>effective</t>
    <phoneticPr fontId="11" type="noConversion"/>
  </si>
  <si>
    <t>efficient</t>
    <phoneticPr fontId="11" type="noConversion"/>
  </si>
  <si>
    <t>elementry</t>
    <phoneticPr fontId="11" type="noConversion"/>
  </si>
  <si>
    <t>empty</t>
    <phoneticPr fontId="11" type="noConversion"/>
  </si>
  <si>
    <t>enormous</t>
    <phoneticPr fontId="11" type="noConversion"/>
  </si>
  <si>
    <t>enthustic</t>
    <phoneticPr fontId="11" type="noConversion"/>
  </si>
  <si>
    <t>environmental</t>
    <phoneticPr fontId="11" type="noConversion"/>
  </si>
  <si>
    <t>essential</t>
    <phoneticPr fontId="11" type="noConversion"/>
  </si>
  <si>
    <t>excited</t>
    <phoneticPr fontId="11" type="noConversion"/>
  </si>
  <si>
    <t>exciting</t>
    <phoneticPr fontId="11" type="noConversion"/>
  </si>
  <si>
    <t>existant</t>
    <phoneticPr fontId="11" type="noConversion"/>
  </si>
  <si>
    <t>expensive</t>
    <phoneticPr fontId="11" type="noConversion"/>
  </si>
  <si>
    <t>experienced</t>
    <phoneticPr fontId="11" type="noConversion"/>
  </si>
  <si>
    <t>experiental</t>
    <phoneticPr fontId="11" type="noConversion"/>
  </si>
  <si>
    <t>extensive</t>
    <phoneticPr fontId="11" type="noConversion"/>
  </si>
  <si>
    <t>extra</t>
    <phoneticPr fontId="11" type="noConversion"/>
  </si>
  <si>
    <t>fair</t>
    <phoneticPr fontId="11" type="noConversion"/>
  </si>
  <si>
    <t>fake</t>
    <phoneticPr fontId="11" type="noConversion"/>
  </si>
  <si>
    <t>British</t>
    <phoneticPr fontId="11" type="noConversion"/>
  </si>
  <si>
    <t>familiar</t>
    <phoneticPr fontId="11" type="noConversion"/>
  </si>
  <si>
    <t>famous</t>
    <phoneticPr fontId="11" type="noConversion"/>
  </si>
  <si>
    <t>fancy</t>
    <phoneticPr fontId="11" type="noConversion"/>
  </si>
  <si>
    <t>fashionable</t>
    <phoneticPr fontId="11" type="noConversion"/>
  </si>
  <si>
    <t>favourte</t>
    <phoneticPr fontId="11" type="noConversion"/>
  </si>
  <si>
    <t>final</t>
    <phoneticPr fontId="11" type="noConversion"/>
  </si>
  <si>
    <t>financial</t>
    <phoneticPr fontId="11" type="noConversion"/>
  </si>
  <si>
    <t>fine</t>
    <phoneticPr fontId="11" type="noConversion"/>
  </si>
  <si>
    <t>firm</t>
    <phoneticPr fontId="11" type="noConversion"/>
  </si>
  <si>
    <t>fliexible</t>
    <phoneticPr fontId="11" type="noConversion"/>
  </si>
  <si>
    <t>foreign</t>
    <phoneticPr fontId="11" type="noConversion"/>
  </si>
  <si>
    <t>formal</t>
    <phoneticPr fontId="11" type="noConversion"/>
  </si>
  <si>
    <t>former</t>
    <phoneticPr fontId="11" type="noConversion"/>
  </si>
  <si>
    <t>free</t>
    <phoneticPr fontId="11" type="noConversion"/>
  </si>
  <si>
    <t>frequent</t>
    <phoneticPr fontId="11" type="noConversion"/>
  </si>
  <si>
    <t>fundamental</t>
    <phoneticPr fontId="11" type="noConversion"/>
  </si>
  <si>
    <t>further</t>
    <phoneticPr fontId="11" type="noConversion"/>
  </si>
  <si>
    <t>general</t>
    <phoneticPr fontId="11" type="noConversion"/>
  </si>
  <si>
    <t>genetic</t>
    <phoneticPr fontId="11" type="noConversion"/>
  </si>
  <si>
    <t>geographical</t>
    <phoneticPr fontId="11" type="noConversion"/>
  </si>
  <si>
    <t>global</t>
    <phoneticPr fontId="11" type="noConversion"/>
  </si>
  <si>
    <t>handy</t>
    <phoneticPr fontId="11" type="noConversion"/>
  </si>
  <si>
    <t>harmful</t>
    <phoneticPr fontId="11" type="noConversion"/>
  </si>
  <si>
    <t>hazad</t>
    <phoneticPr fontId="11" type="noConversion"/>
  </si>
  <si>
    <t>healthy</t>
    <phoneticPr fontId="11" type="noConversion"/>
  </si>
  <si>
    <t>heavier</t>
    <phoneticPr fontId="11" type="noConversion"/>
  </si>
  <si>
    <t>heavy</t>
    <phoneticPr fontId="11" type="noConversion"/>
  </si>
  <si>
    <t>helpful</t>
    <phoneticPr fontId="11" type="noConversion"/>
  </si>
  <si>
    <t>higher</t>
    <phoneticPr fontId="11" type="noConversion"/>
  </si>
  <si>
    <t>highly-trend</t>
    <phoneticPr fontId="11" type="noConversion"/>
  </si>
  <si>
    <t>historical</t>
    <phoneticPr fontId="11" type="noConversion"/>
  </si>
  <si>
    <t>ill</t>
    <phoneticPr fontId="11" type="noConversion"/>
  </si>
  <si>
    <t>ileagle</t>
    <phoneticPr fontId="11" type="noConversion"/>
  </si>
  <si>
    <t>immune</t>
    <phoneticPr fontId="11" type="noConversion"/>
  </si>
  <si>
    <t>important</t>
    <phoneticPr fontId="11" type="noConversion"/>
  </si>
  <si>
    <t>impossible</t>
    <phoneticPr fontId="11" type="noConversion"/>
  </si>
  <si>
    <t>inaccuracy</t>
    <phoneticPr fontId="11" type="noConversion"/>
  </si>
  <si>
    <t>inadac</t>
    <phoneticPr fontId="11" type="noConversion"/>
  </si>
  <si>
    <t>individual</t>
    <phoneticPr fontId="11" type="noConversion"/>
  </si>
  <si>
    <t>industral</t>
    <phoneticPr fontId="11" type="noConversion"/>
  </si>
  <si>
    <t>informative</t>
    <phoneticPr fontId="11" type="noConversion"/>
  </si>
  <si>
    <t>initial</t>
    <phoneticPr fontId="11" type="noConversion"/>
  </si>
  <si>
    <t>inspring</t>
    <phoneticPr fontId="11" type="noConversion"/>
  </si>
  <si>
    <t>intact</t>
    <phoneticPr fontId="11" type="noConversion"/>
  </si>
  <si>
    <t>intelligent</t>
    <phoneticPr fontId="11" type="noConversion"/>
  </si>
  <si>
    <t>intensive</t>
    <phoneticPr fontId="11" type="noConversion"/>
  </si>
  <si>
    <t>interesting</t>
    <phoneticPr fontId="11" type="noConversion"/>
  </si>
  <si>
    <t>intermediate</t>
    <phoneticPr fontId="11" type="noConversion"/>
  </si>
  <si>
    <t>internal</t>
    <phoneticPr fontId="11" type="noConversion"/>
  </si>
  <si>
    <t>international</t>
    <phoneticPr fontId="11" type="noConversion"/>
  </si>
  <si>
    <t>irrgular</t>
    <phoneticPr fontId="11" type="noConversion"/>
  </si>
  <si>
    <t>irret</t>
    <phoneticPr fontId="11" type="noConversion"/>
  </si>
  <si>
    <t>isolated</t>
    <phoneticPr fontId="11" type="noConversion"/>
  </si>
  <si>
    <t>key</t>
    <phoneticPr fontId="11" type="noConversion"/>
  </si>
  <si>
    <t>latest</t>
    <phoneticPr fontId="11" type="noConversion"/>
  </si>
  <si>
    <t>legal</t>
    <phoneticPr fontId="11" type="noConversion"/>
  </si>
  <si>
    <t>little-known</t>
    <phoneticPr fontId="11" type="noConversion"/>
  </si>
  <si>
    <t>loyal</t>
    <phoneticPr fontId="11" type="noConversion"/>
  </si>
  <si>
    <t>magic</t>
    <phoneticPr fontId="11" type="noConversion"/>
  </si>
  <si>
    <t>magical</t>
    <phoneticPr fontId="11" type="noConversion"/>
  </si>
  <si>
    <t>magni</t>
    <phoneticPr fontId="11" type="noConversion"/>
  </si>
  <si>
    <t>major</t>
    <phoneticPr fontId="11" type="noConversion"/>
  </si>
  <si>
    <t>martial</t>
    <phoneticPr fontId="11" type="noConversion"/>
  </si>
  <si>
    <t>mature</t>
  </si>
  <si>
    <t>mature</t>
    <phoneticPr fontId="11" type="noConversion"/>
  </si>
  <si>
    <t>medical</t>
    <phoneticPr fontId="11" type="noConversion"/>
  </si>
  <si>
    <t>mental</t>
    <phoneticPr fontId="11" type="noConversion"/>
  </si>
  <si>
    <t>mid</t>
    <phoneticPr fontId="11" type="noConversion"/>
  </si>
  <si>
    <t>midi</t>
    <phoneticPr fontId="11" type="noConversion"/>
  </si>
  <si>
    <t>milltary</t>
    <phoneticPr fontId="11" type="noConversion"/>
  </si>
  <si>
    <t>mobile</t>
    <phoneticPr fontId="11" type="noConversion"/>
  </si>
  <si>
    <t>moderate</t>
    <phoneticPr fontId="11" type="noConversion"/>
  </si>
  <si>
    <t>modern</t>
    <phoneticPr fontId="11" type="noConversion"/>
  </si>
  <si>
    <t>musical</t>
    <phoneticPr fontId="11" type="noConversion"/>
  </si>
  <si>
    <t>natural</t>
    <phoneticPr fontId="11" type="noConversion"/>
  </si>
  <si>
    <t>negative</t>
    <phoneticPr fontId="11" type="noConversion"/>
  </si>
  <si>
    <t>neighborhing</t>
    <phoneticPr fontId="11" type="noConversion"/>
  </si>
  <si>
    <t>nervous</t>
    <phoneticPr fontId="11" type="noConversion"/>
  </si>
  <si>
    <t>nerval</t>
    <phoneticPr fontId="11" type="noConversion"/>
  </si>
  <si>
    <t>noisy</t>
    <phoneticPr fontId="11" type="noConversion"/>
  </si>
  <si>
    <t>non-active</t>
    <phoneticPr fontId="11" type="noConversion"/>
  </si>
  <si>
    <t>normal</t>
    <phoneticPr fontId="11" type="noConversion"/>
  </si>
  <si>
    <t>northern</t>
    <phoneticPr fontId="11" type="noConversion"/>
  </si>
  <si>
    <t>objective</t>
    <phoneticPr fontId="11" type="noConversion"/>
  </si>
  <si>
    <t>occupational</t>
    <phoneticPr fontId="11" type="noConversion"/>
  </si>
  <si>
    <t>olypic</t>
    <phoneticPr fontId="11" type="noConversion"/>
  </si>
  <si>
    <t>optic</t>
    <phoneticPr fontId="11" type="noConversion"/>
  </si>
  <si>
    <t>optional</t>
    <phoneticPr fontId="11" type="noConversion"/>
  </si>
  <si>
    <t>oral</t>
    <phoneticPr fontId="11" type="noConversion"/>
  </si>
  <si>
    <t>organic</t>
    <phoneticPr fontId="11" type="noConversion"/>
  </si>
  <si>
    <t>overall</t>
    <phoneticPr fontId="11" type="noConversion"/>
  </si>
  <si>
    <t>overhead</t>
    <phoneticPr fontId="11" type="noConversion"/>
  </si>
  <si>
    <t>overseats</t>
    <phoneticPr fontId="11" type="noConversion"/>
  </si>
  <si>
    <t>p?</t>
    <phoneticPr fontId="11" type="noConversion"/>
  </si>
  <si>
    <t>payable</t>
    <phoneticPr fontId="11" type="noConversion"/>
  </si>
  <si>
    <t>perfect</t>
    <phoneticPr fontId="11" type="noConversion"/>
  </si>
  <si>
    <t>personal</t>
    <phoneticPr fontId="11" type="noConversion"/>
  </si>
  <si>
    <t>physical</t>
    <phoneticPr fontId="11" type="noConversion"/>
  </si>
  <si>
    <t>pleasant</t>
  </si>
  <si>
    <t>pleasant</t>
    <phoneticPr fontId="11" type="noConversion"/>
  </si>
  <si>
    <t>pleatical</t>
    <phoneticPr fontId="11" type="noConversion"/>
  </si>
  <si>
    <t>pot</t>
    <phoneticPr fontId="11" type="noConversion"/>
  </si>
  <si>
    <t>positive</t>
    <phoneticPr fontId="11" type="noConversion"/>
  </si>
  <si>
    <t>possible</t>
    <phoneticPr fontId="11" type="noConversion"/>
  </si>
  <si>
    <t>potential</t>
    <phoneticPr fontId="11" type="noConversion"/>
  </si>
  <si>
    <t>practical</t>
    <phoneticPr fontId="11" type="noConversion"/>
  </si>
  <si>
    <t>preditible</t>
    <phoneticPr fontId="11" type="noConversion"/>
  </si>
  <si>
    <t>present</t>
    <phoneticPr fontId="11" type="noConversion"/>
  </si>
  <si>
    <t>previous</t>
    <phoneticPr fontId="11" type="noConversion"/>
  </si>
  <si>
    <t>printed</t>
    <phoneticPr fontId="11" type="noConversion"/>
  </si>
  <si>
    <t>private</t>
    <phoneticPr fontId="11" type="noConversion"/>
  </si>
  <si>
    <t>professional</t>
    <phoneticPr fontId="11" type="noConversion"/>
  </si>
  <si>
    <t>promissing</t>
    <phoneticPr fontId="11" type="noConversion"/>
  </si>
  <si>
    <t>psychological</t>
    <phoneticPr fontId="11" type="noConversion"/>
  </si>
  <si>
    <t>public</t>
    <phoneticPr fontId="11" type="noConversion"/>
  </si>
  <si>
    <t>pure</t>
    <phoneticPr fontId="11" type="noConversion"/>
  </si>
  <si>
    <t>purest</t>
    <phoneticPr fontId="11" type="noConversion"/>
  </si>
  <si>
    <t>queen</t>
    <phoneticPr fontId="11" type="noConversion"/>
  </si>
  <si>
    <t>random</t>
    <phoneticPr fontId="11" type="noConversion"/>
  </si>
  <si>
    <t>rapid</t>
    <phoneticPr fontId="11" type="noConversion"/>
  </si>
  <si>
    <t>rare</t>
    <phoneticPr fontId="11" type="noConversion"/>
  </si>
  <si>
    <t>raw</t>
    <phoneticPr fontId="11" type="noConversion"/>
  </si>
  <si>
    <t>recycled</t>
    <phoneticPr fontId="11" type="noConversion"/>
  </si>
  <si>
    <t>redudant</t>
    <phoneticPr fontId="11" type="noConversion"/>
  </si>
  <si>
    <t>regional</t>
    <phoneticPr fontId="11" type="noConversion"/>
  </si>
  <si>
    <t>regular</t>
    <phoneticPr fontId="11" type="noConversion"/>
  </si>
  <si>
    <t>re-enforced</t>
    <phoneticPr fontId="11" type="noConversion"/>
  </si>
  <si>
    <t>related</t>
    <phoneticPr fontId="11" type="noConversion"/>
  </si>
  <si>
    <t>relaible</t>
    <phoneticPr fontId="11" type="noConversion"/>
  </si>
  <si>
    <t>remote</t>
    <phoneticPr fontId="11" type="noConversion"/>
  </si>
  <si>
    <t>resistent</t>
    <phoneticPr fontId="11" type="noConversion"/>
  </si>
  <si>
    <t>reverse</t>
    <phoneticPr fontId="11" type="noConversion"/>
  </si>
  <si>
    <t>rising</t>
    <phoneticPr fontId="11" type="noConversion"/>
  </si>
  <si>
    <t>royal</t>
    <phoneticPr fontId="11" type="noConversion"/>
  </si>
  <si>
    <t>rural</t>
    <phoneticPr fontId="11" type="noConversion"/>
  </si>
  <si>
    <t>safe</t>
    <phoneticPr fontId="11" type="noConversion"/>
  </si>
  <si>
    <t>safaistary</t>
    <phoneticPr fontId="11" type="noConversion"/>
  </si>
  <si>
    <t>scare</t>
    <phoneticPr fontId="11" type="noConversion"/>
  </si>
  <si>
    <t>scientific</t>
    <phoneticPr fontId="11" type="noConversion"/>
  </si>
  <si>
    <t>seasonal</t>
    <phoneticPr fontId="11" type="noConversion"/>
  </si>
  <si>
    <t>seasoned</t>
    <phoneticPr fontId="11" type="noConversion"/>
  </si>
  <si>
    <t>secondary</t>
    <phoneticPr fontId="11" type="noConversion"/>
  </si>
  <si>
    <t>secondhand</t>
    <phoneticPr fontId="11" type="noConversion"/>
  </si>
  <si>
    <t>self-funded</t>
    <phoneticPr fontId="11" type="noConversion"/>
  </si>
  <si>
    <t>senior</t>
    <phoneticPr fontId="11" type="noConversion"/>
  </si>
  <si>
    <t>serious</t>
    <phoneticPr fontId="11" type="noConversion"/>
  </si>
  <si>
    <t>sevenscreen</t>
    <phoneticPr fontId="11" type="noConversion"/>
  </si>
  <si>
    <t>several</t>
    <phoneticPr fontId="11" type="noConversion"/>
  </si>
  <si>
    <t>shared</t>
    <phoneticPr fontId="11" type="noConversion"/>
  </si>
  <si>
    <t>sharp</t>
    <phoneticPr fontId="11" type="noConversion"/>
  </si>
  <si>
    <t>short</t>
    <phoneticPr fontId="11" type="noConversion"/>
  </si>
  <si>
    <t>sick</t>
    <phoneticPr fontId="11" type="noConversion"/>
  </si>
  <si>
    <t>silent</t>
    <phoneticPr fontId="11" type="noConversion"/>
  </si>
  <si>
    <t>silver</t>
    <phoneticPr fontId="11" type="noConversion"/>
  </si>
  <si>
    <t>similar</t>
    <phoneticPr fontId="11" type="noConversion"/>
  </si>
  <si>
    <t>simple</t>
    <phoneticPr fontId="11" type="noConversion"/>
  </si>
  <si>
    <t>sleepy</t>
    <phoneticPr fontId="11" type="noConversion"/>
  </si>
  <si>
    <t>slim</t>
    <phoneticPr fontId="11" type="noConversion"/>
  </si>
  <si>
    <t>smart</t>
    <phoneticPr fontId="11" type="noConversion"/>
  </si>
  <si>
    <t>smeey</t>
    <phoneticPr fontId="11" type="noConversion"/>
  </si>
  <si>
    <t>social</t>
    <phoneticPr fontId="11" type="noConversion"/>
  </si>
  <si>
    <t>solar</t>
    <phoneticPr fontId="11" type="noConversion"/>
  </si>
  <si>
    <t>soundproof</t>
    <phoneticPr fontId="11" type="noConversion"/>
  </si>
  <si>
    <t>southern</t>
    <phoneticPr fontId="11" type="noConversion"/>
  </si>
  <si>
    <t>speacious</t>
    <phoneticPr fontId="11" type="noConversion"/>
  </si>
  <si>
    <t>spare</t>
    <phoneticPr fontId="11" type="noConversion"/>
  </si>
  <si>
    <t>special</t>
    <phoneticPr fontId="11" type="noConversion"/>
  </si>
  <si>
    <t>specialized</t>
    <phoneticPr fontId="11" type="noConversion"/>
  </si>
  <si>
    <t>spe</t>
    <phoneticPr fontId="11" type="noConversion"/>
  </si>
  <si>
    <t>specific</t>
    <phoneticPr fontId="11" type="noConversion"/>
  </si>
  <si>
    <t>sprial</t>
    <phoneticPr fontId="11" type="noConversion"/>
  </si>
  <si>
    <t>stable</t>
    <phoneticPr fontId="11" type="noConversion"/>
  </si>
  <si>
    <t>steady</t>
    <phoneticPr fontId="11" type="noConversion"/>
  </si>
  <si>
    <t>stout</t>
    <phoneticPr fontId="11" type="noConversion"/>
  </si>
  <si>
    <t>string</t>
    <phoneticPr fontId="11" type="noConversion"/>
  </si>
  <si>
    <t>strssful</t>
    <phoneticPr fontId="11" type="noConversion"/>
  </si>
  <si>
    <t>strong</t>
    <phoneticPr fontId="11" type="noConversion"/>
  </si>
  <si>
    <t>stronger</t>
    <phoneticPr fontId="11" type="noConversion"/>
  </si>
  <si>
    <t>subjective</t>
    <phoneticPr fontId="11" type="noConversion"/>
  </si>
  <si>
    <t>successful</t>
    <phoneticPr fontId="11" type="noConversion"/>
  </si>
  <si>
    <t>suffcient</t>
    <phoneticPr fontId="11" type="noConversion"/>
  </si>
  <si>
    <t>suitible</t>
    <phoneticPr fontId="11" type="noConversion"/>
  </si>
  <si>
    <t>super</t>
    <phoneticPr fontId="11" type="noConversion"/>
  </si>
  <si>
    <t>surprised</t>
    <phoneticPr fontId="11" type="noConversion"/>
  </si>
  <si>
    <t>technical</t>
    <phoneticPr fontId="11" type="noConversion"/>
  </si>
  <si>
    <t>theortical</t>
    <phoneticPr fontId="11" type="noConversion"/>
  </si>
  <si>
    <t>traditional</t>
    <phoneticPr fontId="11" type="noConversion"/>
  </si>
  <si>
    <t>troublesome</t>
    <phoneticPr fontId="11" type="noConversion"/>
  </si>
  <si>
    <t>typical</t>
    <phoneticPr fontId="11" type="noConversion"/>
  </si>
  <si>
    <t>uncomf</t>
    <phoneticPr fontId="11" type="noConversion"/>
  </si>
  <si>
    <t>unconvicing</t>
    <phoneticPr fontId="11" type="noConversion"/>
  </si>
  <si>
    <t>underground</t>
    <phoneticPr fontId="11" type="noConversion"/>
  </si>
  <si>
    <t>unfair</t>
    <phoneticPr fontId="11" type="noConversion"/>
  </si>
  <si>
    <t>unhealthy</t>
    <phoneticPr fontId="11" type="noConversion"/>
  </si>
  <si>
    <t>unique</t>
    <phoneticPr fontId="11" type="noConversion"/>
  </si>
  <si>
    <t>united</t>
    <phoneticPr fontId="11" type="noConversion"/>
  </si>
  <si>
    <t>unrealiable</t>
    <phoneticPr fontId="11" type="noConversion"/>
  </si>
  <si>
    <t>unsocial</t>
    <phoneticPr fontId="11" type="noConversion"/>
  </si>
  <si>
    <t>unusual</t>
    <phoneticPr fontId="11" type="noConversion"/>
  </si>
  <si>
    <t>useful</t>
    <phoneticPr fontId="11" type="noConversion"/>
  </si>
  <si>
    <t>useless</t>
    <phoneticPr fontId="11" type="noConversion"/>
  </si>
  <si>
    <t>usual</t>
    <phoneticPr fontId="11" type="noConversion"/>
  </si>
  <si>
    <t>various</t>
    <phoneticPr fontId="11" type="noConversion"/>
  </si>
  <si>
    <t>violent</t>
    <phoneticPr fontId="11" type="noConversion"/>
  </si>
  <si>
    <t>virtule</t>
    <phoneticPr fontId="11" type="noConversion"/>
  </si>
  <si>
    <t>visible</t>
    <phoneticPr fontId="11" type="noConversion"/>
  </si>
  <si>
    <t>visual</t>
    <phoneticPr fontId="11" type="noConversion"/>
  </si>
  <si>
    <t>warm</t>
    <phoneticPr fontId="11" type="noConversion"/>
  </si>
  <si>
    <t>washable</t>
    <phoneticPr fontId="11" type="noConversion"/>
  </si>
  <si>
    <t>wealthy</t>
    <phoneticPr fontId="11" type="noConversion"/>
  </si>
  <si>
    <t>weakly</t>
    <phoneticPr fontId="11" type="noConversion"/>
  </si>
  <si>
    <t>western</t>
    <phoneticPr fontId="11" type="noConversion"/>
  </si>
  <si>
    <t>hold</t>
    <phoneticPr fontId="11" type="noConversion"/>
  </si>
  <si>
    <t>wide</t>
    <phoneticPr fontId="11" type="noConversion"/>
  </si>
  <si>
    <t>wise</t>
    <phoneticPr fontId="11" type="noConversion"/>
  </si>
  <si>
    <t>worthwhile</t>
    <phoneticPr fontId="11" type="noConversion"/>
  </si>
  <si>
    <t>worthy</t>
    <phoneticPr fontId="11" type="noConversion"/>
  </si>
  <si>
    <t>preassure</t>
    <phoneticPr fontId="11" type="noConversion"/>
  </si>
  <si>
    <t>relevent</t>
    <phoneticPr fontId="11" type="noConversion"/>
  </si>
  <si>
    <t>self-sufficient</t>
    <phoneticPr fontId="11" type="noConversion"/>
  </si>
  <si>
    <t>scrething</t>
    <phoneticPr fontId="11" type="noConversion"/>
  </si>
  <si>
    <t>currently</t>
    <phoneticPr fontId="11" type="noConversion"/>
  </si>
  <si>
    <t>directly</t>
    <phoneticPr fontId="11" type="noConversion"/>
  </si>
  <si>
    <t>aspectively</t>
    <phoneticPr fontId="11" type="noConversion"/>
  </si>
  <si>
    <t>efficiently</t>
    <phoneticPr fontId="11" type="noConversion"/>
  </si>
  <si>
    <t>origionally</t>
    <phoneticPr fontId="11" type="noConversion"/>
  </si>
  <si>
    <t>physiclly</t>
    <phoneticPr fontId="11" type="noConversion"/>
  </si>
  <si>
    <t>rapidly</t>
    <phoneticPr fontId="11" type="noConversion"/>
  </si>
  <si>
    <t>regularly</t>
    <phoneticPr fontId="11" type="noConversion"/>
  </si>
  <si>
    <t>virtually</t>
    <phoneticPr fontId="11" type="noConversion"/>
  </si>
  <si>
    <t>professionally</t>
    <phoneticPr fontId="11" type="noConversion"/>
  </si>
  <si>
    <t>overseas</t>
  </si>
  <si>
    <t>call slip</t>
  </si>
  <si>
    <t>special mail</t>
  </si>
  <si>
    <t>research source</t>
  </si>
  <si>
    <t>stress levels</t>
  </si>
  <si>
    <t>cassette</t>
  </si>
  <si>
    <t>researcher</t>
  </si>
  <si>
    <t>monthly rent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</si>
</sst>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等线"/>
      <charset val="134"/>
      <scheme val="minor"/>
    </font>
    <font>
      <b/>
      <sz val="20"/>
      <color theme="0"/>
      <name val="楷体"/>
      <family val="3"/>
      <charset val="134"/>
    </font>
    <font>
      <b/>
      <sz val="11"/>
      <color theme="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theme="1"/>
      <name val="楷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color theme="1"/>
      <name val="黑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color theme="0"/>
      <name val="等线"/>
      <family val="2"/>
      <scheme val="minor"/>
    </font>
    <font>
      <sz val="9"/>
      <name val="等线"/>
      <family val="3"/>
      <charset val="134"/>
      <scheme val="minor"/>
    </font>
    <font>
      <sz val="9"/>
      <name val="等线"/>
      <family val="2"/>
      <scheme val="minor"/>
    </font>
    <font>
      <b/>
      <sz val="11"/>
      <color rgb="FFFF0000"/>
      <name val="等线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5117038483843"/>
        <bgColor theme="4" tint="0.79995117038483843"/>
      </patternFill>
    </fill>
    <fill>
      <patternFill patternType="solid">
        <fgColor rgb="FFC6EFCE"/>
        <bgColor indexed="64"/>
      </patternFill>
    </fill>
  </fills>
  <borders count="16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4" tint="0.399945066682943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/>
      <right/>
      <top/>
      <bottom style="thin">
        <color theme="4" tint="0.39994506668294322"/>
      </bottom>
      <diagonal/>
    </border>
    <border>
      <left/>
      <right style="thin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/>
      <top style="thick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</borders>
  <cellStyleXfs count="3">
    <xf numFmtId="0" fontId="0" fillId="0" borderId="0"/>
    <xf numFmtId="9" fontId="9" fillId="0" borderId="0" applyFont="0" applyFill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</cellStyleXfs>
  <cellXfs count="63">
    <xf numFmtId="0" fontId="0" fillId="0" borderId="0" xfId="0"/>
    <xf numFmtId="0" fontId="1" fillId="2" borderId="0" xfId="0" applyFont="1" applyFill="1" applyAlignment="1" applyProtection="1">
      <alignment horizontal="center"/>
      <protection locked="0"/>
    </xf>
    <xf numFmtId="0" fontId="2" fillId="2" borderId="1" xfId="0" applyFont="1" applyFill="1" applyBorder="1" applyProtection="1">
      <protection locked="0"/>
    </xf>
    <xf numFmtId="0" fontId="2" fillId="2" borderId="2" xfId="0" applyFont="1" applyFill="1" applyBorder="1" applyProtection="1">
      <protection locked="0"/>
    </xf>
    <xf numFmtId="0" fontId="2" fillId="2" borderId="3" xfId="0" applyFont="1" applyFill="1" applyBorder="1" applyProtection="1">
      <protection locked="0"/>
    </xf>
    <xf numFmtId="0" fontId="3" fillId="3" borderId="0" xfId="0" applyFont="1" applyFill="1" applyProtection="1"/>
    <xf numFmtId="0" fontId="0" fillId="0" borderId="0" xfId="0" applyFill="1"/>
    <xf numFmtId="0" fontId="0" fillId="3" borderId="0" xfId="0" applyFill="1"/>
    <xf numFmtId="0" fontId="0" fillId="3" borderId="0" xfId="0" applyFill="1" applyProtection="1">
      <protection locked="0"/>
    </xf>
    <xf numFmtId="0" fontId="2" fillId="2" borderId="6" xfId="2" applyFont="1" applyFill="1" applyBorder="1" applyAlignment="1" applyProtection="1"/>
    <xf numFmtId="0" fontId="0" fillId="0" borderId="0" xfId="0" applyFill="1" applyProtection="1"/>
    <xf numFmtId="0" fontId="0" fillId="4" borderId="7" xfId="0" applyFont="1" applyFill="1" applyBorder="1" applyProtection="1">
      <protection locked="0"/>
    </xf>
    <xf numFmtId="0" fontId="0" fillId="4" borderId="8" xfId="0" applyFont="1" applyFill="1" applyBorder="1" applyProtection="1">
      <protection locked="0"/>
    </xf>
    <xf numFmtId="9" fontId="0" fillId="4" borderId="9" xfId="1" applyFont="1" applyFill="1" applyBorder="1" applyAlignment="1" applyProtection="1">
      <protection locked="0"/>
    </xf>
    <xf numFmtId="0" fontId="0" fillId="5" borderId="10" xfId="0" applyFont="1" applyFill="1" applyBorder="1" applyProtection="1">
      <protection locked="0"/>
    </xf>
    <xf numFmtId="0" fontId="0" fillId="5" borderId="11" xfId="0" applyFont="1" applyFill="1" applyBorder="1" applyProtection="1">
      <protection locked="0"/>
    </xf>
    <xf numFmtId="9" fontId="0" fillId="5" borderId="12" xfId="1" applyFont="1" applyFill="1" applyBorder="1" applyAlignment="1" applyProtection="1">
      <protection locked="0"/>
    </xf>
    <xf numFmtId="0" fontId="0" fillId="4" borderId="10" xfId="0" applyFont="1" applyFill="1" applyBorder="1" applyProtection="1">
      <protection locked="0"/>
    </xf>
    <xf numFmtId="0" fontId="0" fillId="4" borderId="11" xfId="0" applyFont="1" applyFill="1" applyBorder="1" applyProtection="1">
      <protection locked="0"/>
    </xf>
    <xf numFmtId="9" fontId="0" fillId="4" borderId="12" xfId="1" applyFont="1" applyFill="1" applyBorder="1" applyAlignment="1" applyProtection="1">
      <protection locked="0"/>
    </xf>
    <xf numFmtId="0" fontId="0" fillId="5" borderId="13" xfId="0" applyFont="1" applyFill="1" applyBorder="1" applyProtection="1">
      <protection locked="0"/>
    </xf>
    <xf numFmtId="0" fontId="0" fillId="5" borderId="14" xfId="0" applyFont="1" applyFill="1" applyBorder="1" applyProtection="1">
      <protection locked="0"/>
    </xf>
    <xf numFmtId="9" fontId="0" fillId="5" borderId="15" xfId="1" applyFont="1" applyFill="1" applyBorder="1" applyAlignment="1" applyProtection="1">
      <protection locked="0"/>
    </xf>
    <xf numFmtId="0" fontId="0" fillId="3" borderId="0" xfId="0" applyFill="1" applyProtection="1"/>
    <xf numFmtId="0" fontId="0" fillId="0" borderId="0" xfId="0" applyProtection="1">
      <protection locked="0"/>
    </xf>
    <xf numFmtId="0" fontId="2" fillId="2" borderId="6" xfId="2" applyFont="1" applyFill="1" applyBorder="1" applyAlignment="1"/>
    <xf numFmtId="0" fontId="0" fillId="0" borderId="0" xfId="0" applyProtection="1"/>
    <xf numFmtId="0" fontId="0" fillId="0" borderId="0" xfId="0" applyFill="1" applyProtection="1">
      <protection locked="0"/>
    </xf>
    <xf numFmtId="0" fontId="0" fillId="0" borderId="0" xfId="0" applyFont="1" applyFill="1" applyBorder="1" applyProtection="1"/>
    <xf numFmtId="0" fontId="0" fillId="0" borderId="0" xfId="0" applyFont="1" applyFill="1" applyBorder="1"/>
    <xf numFmtId="0" fontId="3" fillId="3" borderId="0" xfId="0" applyFont="1" applyFill="1" applyProtection="1">
      <protection locked="0"/>
    </xf>
    <xf numFmtId="0" fontId="3" fillId="0" borderId="0" xfId="0" applyFont="1" applyFill="1" applyProtection="1">
      <protection locked="0"/>
    </xf>
    <xf numFmtId="0" fontId="3" fillId="0" borderId="0" xfId="0" applyFont="1" applyProtection="1"/>
    <xf numFmtId="0" fontId="3" fillId="0" borderId="0" xfId="0" applyFont="1" applyProtection="1">
      <protection locked="0"/>
    </xf>
    <xf numFmtId="0" fontId="10" fillId="2" borderId="6" xfId="2" applyFont="1" applyFill="1" applyBorder="1" applyAlignment="1"/>
    <xf numFmtId="0" fontId="10" fillId="2" borderId="0" xfId="0" applyFont="1" applyFill="1" applyProtection="1">
      <protection locked="0"/>
    </xf>
    <xf numFmtId="0" fontId="7" fillId="0" borderId="0" xfId="0" applyFont="1"/>
    <xf numFmtId="0" fontId="7" fillId="0" borderId="0" xfId="0" applyFont="1" applyProtection="1">
      <protection locked="0"/>
    </xf>
    <xf numFmtId="0" fontId="10" fillId="2" borderId="1" xfId="0" applyFont="1" applyFill="1" applyBorder="1" applyProtection="1">
      <protection locked="0"/>
    </xf>
    <xf numFmtId="0" fontId="10" fillId="2" borderId="2" xfId="0" applyFont="1" applyFill="1" applyBorder="1" applyProtection="1">
      <protection locked="0"/>
    </xf>
    <xf numFmtId="0" fontId="10" fillId="2" borderId="3" xfId="0" applyFont="1" applyFill="1" applyBorder="1" applyProtection="1">
      <protection locked="0"/>
    </xf>
    <xf numFmtId="0" fontId="13" fillId="3" borderId="0" xfId="0" applyFont="1" applyFill="1"/>
    <xf numFmtId="0" fontId="0" fillId="0" borderId="0" xfId="0" applyAlignment="1">
      <alignment vertical="center"/>
    </xf>
    <xf numFmtId="0" fontId="7" fillId="0" borderId="0" xfId="0" applyFont="1" applyFill="1"/>
    <xf numFmtId="0" fontId="2" fillId="2" borderId="0" xfId="0" applyFont="1" applyFill="1" applyBorder="1" applyProtection="1">
      <protection locked="0"/>
    </xf>
    <xf numFmtId="0" fontId="7" fillId="0" borderId="0" xfId="0" applyFont="1" applyFill="1" applyProtection="1">
      <protection locked="0"/>
    </xf>
    <xf numFmtId="0" fontId="10" fillId="2" borderId="5" xfId="0" applyFont="1" applyFill="1" applyBorder="1" applyAlignment="1">
      <alignment horizontal="center"/>
    </xf>
    <xf numFmtId="0" fontId="5" fillId="3" borderId="0" xfId="0" applyFont="1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6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4" fillId="3" borderId="0" xfId="0" applyFont="1" applyFill="1" applyAlignment="1" applyProtection="1">
      <alignment horizontal="center"/>
      <protection locked="0"/>
    </xf>
    <xf numFmtId="0" fontId="6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Fill="1" applyAlignment="1">
      <alignment horizontal="left" vertical="top" wrapText="1"/>
    </xf>
    <xf numFmtId="0" fontId="2" fillId="2" borderId="5" xfId="0" applyFont="1" applyFill="1" applyBorder="1" applyAlignment="1" applyProtection="1">
      <alignment horizontal="center"/>
    </xf>
    <xf numFmtId="0" fontId="2" fillId="2" borderId="5" xfId="0" applyFont="1" applyFill="1" applyBorder="1" applyAlignment="1">
      <alignment horizontal="center"/>
    </xf>
    <xf numFmtId="0" fontId="6" fillId="3" borderId="0" xfId="0" applyFont="1" applyFill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1" fillId="2" borderId="0" xfId="0" applyFont="1" applyFill="1" applyAlignment="1" applyProtection="1">
      <alignment horizontal="center"/>
      <protection locked="0"/>
    </xf>
    <xf numFmtId="0" fontId="10" fillId="2" borderId="0" xfId="0" applyFont="1" applyFill="1" applyAlignment="1" applyProtection="1">
      <alignment horizontal="center"/>
      <protection locked="0"/>
    </xf>
    <xf numFmtId="0" fontId="10" fillId="2" borderId="4" xfId="0" applyFont="1" applyFill="1" applyBorder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center"/>
      <protection locked="0"/>
    </xf>
  </cellXfs>
  <cellStyles count="3">
    <cellStyle name="百分比" xfId="1" builtinId="5"/>
    <cellStyle name="常规" xfId="0" builtinId="0"/>
    <cellStyle name="好" xfId="2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5" Type="http://schemas.openxmlformats.org/officeDocument/2006/relationships/image" Target="../media/image16.emf"/><Relationship Id="rId4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13" Type="http://schemas.openxmlformats.org/officeDocument/2006/relationships/image" Target="../media/image29.emf"/><Relationship Id="rId3" Type="http://schemas.openxmlformats.org/officeDocument/2006/relationships/image" Target="../media/image19.emf"/><Relationship Id="rId7" Type="http://schemas.openxmlformats.org/officeDocument/2006/relationships/image" Target="../media/image23.emf"/><Relationship Id="rId12" Type="http://schemas.openxmlformats.org/officeDocument/2006/relationships/image" Target="../media/image28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22.emf"/><Relationship Id="rId11" Type="http://schemas.openxmlformats.org/officeDocument/2006/relationships/image" Target="../media/image27.emf"/><Relationship Id="rId5" Type="http://schemas.openxmlformats.org/officeDocument/2006/relationships/image" Target="../media/image21.emf"/><Relationship Id="rId10" Type="http://schemas.openxmlformats.org/officeDocument/2006/relationships/image" Target="../media/image26.emf"/><Relationship Id="rId4" Type="http://schemas.openxmlformats.org/officeDocument/2006/relationships/image" Target="../media/image20.emf"/><Relationship Id="rId9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5" Type="http://schemas.openxmlformats.org/officeDocument/2006/relationships/image" Target="../media/image34.emf"/><Relationship Id="rId4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166688</xdr:rowOff>
        </xdr:from>
        <xdr:to>
          <xdr:col>1</xdr:col>
          <xdr:colOff>95250</xdr:colOff>
          <xdr:row>16</xdr:row>
          <xdr:rowOff>171450</xdr:rowOff>
        </xdr:to>
        <xdr:sp macro="" textlink="">
          <xdr:nvSpPr>
            <xdr:cNvPr id="1029" name="C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14</xdr:row>
          <xdr:rowOff>171450</xdr:rowOff>
        </xdr:from>
        <xdr:to>
          <xdr:col>2</xdr:col>
          <xdr:colOff>385763</xdr:colOff>
          <xdr:row>17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14</xdr:row>
          <xdr:rowOff>171450</xdr:rowOff>
        </xdr:from>
        <xdr:to>
          <xdr:col>3</xdr:col>
          <xdr:colOff>1119188</xdr:colOff>
          <xdr:row>17</xdr:row>
          <xdr:rowOff>0</xdr:rowOff>
        </xdr:to>
        <xdr:sp macro="" textlink="">
          <xdr:nvSpPr>
            <xdr:cNvPr id="1031" name="CommandButton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166688</xdr:rowOff>
        </xdr:from>
        <xdr:to>
          <xdr:col>1</xdr:col>
          <xdr:colOff>95250</xdr:colOff>
          <xdr:row>19</xdr:row>
          <xdr:rowOff>171450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18</xdr:row>
          <xdr:rowOff>0</xdr:rowOff>
        </xdr:from>
        <xdr:to>
          <xdr:col>2</xdr:col>
          <xdr:colOff>404813</xdr:colOff>
          <xdr:row>20</xdr:row>
          <xdr:rowOff>4763</xdr:rowOff>
        </xdr:to>
        <xdr:sp macro="" textlink="">
          <xdr:nvSpPr>
            <xdr:cNvPr id="1033" name="CommandButton4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17</xdr:row>
          <xdr:rowOff>161925</xdr:rowOff>
        </xdr:from>
        <xdr:to>
          <xdr:col>3</xdr:col>
          <xdr:colOff>1119188</xdr:colOff>
          <xdr:row>19</xdr:row>
          <xdr:rowOff>166688</xdr:rowOff>
        </xdr:to>
        <xdr:sp macro="" textlink="">
          <xdr:nvSpPr>
            <xdr:cNvPr id="1034" name="CommandButton5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171450</xdr:rowOff>
        </xdr:from>
        <xdr:to>
          <xdr:col>1</xdr:col>
          <xdr:colOff>95250</xdr:colOff>
          <xdr:row>23</xdr:row>
          <xdr:rowOff>0</xdr:rowOff>
        </xdr:to>
        <xdr:sp macro="" textlink="">
          <xdr:nvSpPr>
            <xdr:cNvPr id="1035" name="CommandButton6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20</xdr:row>
          <xdr:rowOff>171450</xdr:rowOff>
        </xdr:from>
        <xdr:to>
          <xdr:col>2</xdr:col>
          <xdr:colOff>433388</xdr:colOff>
          <xdr:row>23</xdr:row>
          <xdr:rowOff>0</xdr:rowOff>
        </xdr:to>
        <xdr:sp macro="" textlink="">
          <xdr:nvSpPr>
            <xdr:cNvPr id="1036" name="CommandButton7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20</xdr:row>
          <xdr:rowOff>157163</xdr:rowOff>
        </xdr:from>
        <xdr:to>
          <xdr:col>3</xdr:col>
          <xdr:colOff>1119188</xdr:colOff>
          <xdr:row>22</xdr:row>
          <xdr:rowOff>161925</xdr:rowOff>
        </xdr:to>
        <xdr:sp macro="" textlink="">
          <xdr:nvSpPr>
            <xdr:cNvPr id="1037" name="CommandButton8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257175</xdr:colOff>
      <xdr:row>30</xdr:row>
      <xdr:rowOff>144780</xdr:rowOff>
    </xdr:from>
    <xdr:to>
      <xdr:col>3</xdr:col>
      <xdr:colOff>534035</xdr:colOff>
      <xdr:row>37</xdr:row>
      <xdr:rowOff>45720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5421630"/>
          <a:ext cx="2903220" cy="1127760"/>
        </a:xfrm>
        <a:prstGeom prst="rect">
          <a:avLst/>
        </a:prstGeom>
        <a:noFill/>
        <a:ln w="9525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242888</xdr:colOff>
          <xdr:row>14</xdr:row>
          <xdr:rowOff>161925</xdr:rowOff>
        </xdr:from>
        <xdr:to>
          <xdr:col>5</xdr:col>
          <xdr:colOff>747713</xdr:colOff>
          <xdr:row>16</xdr:row>
          <xdr:rowOff>166688</xdr:rowOff>
        </xdr:to>
        <xdr:sp macro="" textlink="">
          <xdr:nvSpPr>
            <xdr:cNvPr id="1039" name="CommandButton10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290513</xdr:colOff>
          <xdr:row>9</xdr:row>
          <xdr:rowOff>114300</xdr:rowOff>
        </xdr:from>
        <xdr:to>
          <xdr:col>1</xdr:col>
          <xdr:colOff>385763</xdr:colOff>
          <xdr:row>11</xdr:row>
          <xdr:rowOff>119063</xdr:rowOff>
        </xdr:to>
        <xdr:sp macro="" textlink="">
          <xdr:nvSpPr>
            <xdr:cNvPr id="2049" name="C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9</xdr:row>
          <xdr:rowOff>104775</xdr:rowOff>
        </xdr:from>
        <xdr:to>
          <xdr:col>3</xdr:col>
          <xdr:colOff>257175</xdr:colOff>
          <xdr:row>11</xdr:row>
          <xdr:rowOff>109538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300038</xdr:colOff>
          <xdr:row>12</xdr:row>
          <xdr:rowOff>42863</xdr:rowOff>
        </xdr:from>
        <xdr:to>
          <xdr:col>1</xdr:col>
          <xdr:colOff>395288</xdr:colOff>
          <xdr:row>14</xdr:row>
          <xdr:rowOff>47625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12</xdr:row>
          <xdr:rowOff>38100</xdr:rowOff>
        </xdr:from>
        <xdr:to>
          <xdr:col>3</xdr:col>
          <xdr:colOff>247650</xdr:colOff>
          <xdr:row>14</xdr:row>
          <xdr:rowOff>42863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257175</xdr:colOff>
      <xdr:row>23</xdr:row>
      <xdr:rowOff>144780</xdr:rowOff>
    </xdr:from>
    <xdr:to>
      <xdr:col>3</xdr:col>
      <xdr:colOff>534035</xdr:colOff>
      <xdr:row>30</xdr:row>
      <xdr:rowOff>45720</xdr:rowOff>
    </xdr:to>
    <xdr:pic>
      <xdr:nvPicPr>
        <xdr:cNvPr id="11" name="图片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4194810"/>
          <a:ext cx="2903220" cy="1127760"/>
        </a:xfrm>
        <a:prstGeom prst="rect">
          <a:avLst/>
        </a:prstGeom>
        <a:noFill/>
        <a:ln w="9525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523875</xdr:colOff>
          <xdr:row>9</xdr:row>
          <xdr:rowOff>90488</xdr:rowOff>
        </xdr:from>
        <xdr:to>
          <xdr:col>4</xdr:col>
          <xdr:colOff>552450</xdr:colOff>
          <xdr:row>11</xdr:row>
          <xdr:rowOff>95250</xdr:rowOff>
        </xdr:to>
        <xdr:sp macro="" textlink="">
          <xdr:nvSpPr>
            <xdr:cNvPr id="2053" name="CommandButton4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28575</xdr:rowOff>
        </xdr:from>
        <xdr:to>
          <xdr:col>1</xdr:col>
          <xdr:colOff>95250</xdr:colOff>
          <xdr:row>22</xdr:row>
          <xdr:rowOff>33338</xdr:rowOff>
        </xdr:to>
        <xdr:sp macro="" textlink="">
          <xdr:nvSpPr>
            <xdr:cNvPr id="4097" name="C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20</xdr:row>
          <xdr:rowOff>33338</xdr:rowOff>
        </xdr:from>
        <xdr:to>
          <xdr:col>2</xdr:col>
          <xdr:colOff>461963</xdr:colOff>
          <xdr:row>22</xdr:row>
          <xdr:rowOff>38100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33338</xdr:colOff>
          <xdr:row>20</xdr:row>
          <xdr:rowOff>33338</xdr:rowOff>
        </xdr:from>
        <xdr:to>
          <xdr:col>4</xdr:col>
          <xdr:colOff>61913</xdr:colOff>
          <xdr:row>22</xdr:row>
          <xdr:rowOff>38100</xdr:rowOff>
        </xdr:to>
        <xdr:sp macro="" textlink="">
          <xdr:nvSpPr>
            <xdr:cNvPr id="4099" name="CommandButton2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23813</xdr:rowOff>
        </xdr:from>
        <xdr:to>
          <xdr:col>1</xdr:col>
          <xdr:colOff>95250</xdr:colOff>
          <xdr:row>25</xdr:row>
          <xdr:rowOff>28575</xdr:rowOff>
        </xdr:to>
        <xdr:sp macro="" textlink="">
          <xdr:nvSpPr>
            <xdr:cNvPr id="4100" name="CommandButton3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23</xdr:row>
          <xdr:rowOff>33338</xdr:rowOff>
        </xdr:from>
        <xdr:to>
          <xdr:col>2</xdr:col>
          <xdr:colOff>442913</xdr:colOff>
          <xdr:row>25</xdr:row>
          <xdr:rowOff>38100</xdr:rowOff>
        </xdr:to>
        <xdr:sp macro="" textlink="">
          <xdr:nvSpPr>
            <xdr:cNvPr id="4101" name="CommandButton4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4763</xdr:colOff>
          <xdr:row>23</xdr:row>
          <xdr:rowOff>28575</xdr:rowOff>
        </xdr:from>
        <xdr:to>
          <xdr:col>4</xdr:col>
          <xdr:colOff>33338</xdr:colOff>
          <xdr:row>25</xdr:row>
          <xdr:rowOff>33338</xdr:rowOff>
        </xdr:to>
        <xdr:sp macro="" textlink="">
          <xdr:nvSpPr>
            <xdr:cNvPr id="4102" name="CommandButton5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142875</xdr:rowOff>
        </xdr:from>
        <xdr:to>
          <xdr:col>1</xdr:col>
          <xdr:colOff>95250</xdr:colOff>
          <xdr:row>27</xdr:row>
          <xdr:rowOff>147638</xdr:rowOff>
        </xdr:to>
        <xdr:sp macro="" textlink="">
          <xdr:nvSpPr>
            <xdr:cNvPr id="4103" name="CommandButton6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300038</xdr:colOff>
          <xdr:row>26</xdr:row>
          <xdr:rowOff>4763</xdr:rowOff>
        </xdr:from>
        <xdr:to>
          <xdr:col>2</xdr:col>
          <xdr:colOff>457200</xdr:colOff>
          <xdr:row>28</xdr:row>
          <xdr:rowOff>9525</xdr:rowOff>
        </xdr:to>
        <xdr:sp macro="" textlink="">
          <xdr:nvSpPr>
            <xdr:cNvPr id="4104" name="CommandButton7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604838</xdr:colOff>
          <xdr:row>25</xdr:row>
          <xdr:rowOff>166688</xdr:rowOff>
        </xdr:from>
        <xdr:to>
          <xdr:col>3</xdr:col>
          <xdr:colOff>1133475</xdr:colOff>
          <xdr:row>27</xdr:row>
          <xdr:rowOff>171450</xdr:rowOff>
        </xdr:to>
        <xdr:sp macro="" textlink="">
          <xdr:nvSpPr>
            <xdr:cNvPr id="4105" name="CommandButton8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257175</xdr:colOff>
      <xdr:row>37</xdr:row>
      <xdr:rowOff>144780</xdr:rowOff>
    </xdr:from>
    <xdr:to>
      <xdr:col>3</xdr:col>
      <xdr:colOff>534035</xdr:colOff>
      <xdr:row>44</xdr:row>
      <xdr:rowOff>45720</xdr:rowOff>
    </xdr:to>
    <xdr:pic>
      <xdr:nvPicPr>
        <xdr:cNvPr id="11" name="图片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6858000"/>
          <a:ext cx="2903220" cy="1127760"/>
        </a:xfrm>
        <a:prstGeom prst="rect">
          <a:avLst/>
        </a:prstGeom>
        <a:noFill/>
        <a:ln w="9525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20</xdr:row>
          <xdr:rowOff>47625</xdr:rowOff>
        </xdr:from>
        <xdr:to>
          <xdr:col>5</xdr:col>
          <xdr:colOff>762000</xdr:colOff>
          <xdr:row>22</xdr:row>
          <xdr:rowOff>52388</xdr:rowOff>
        </xdr:to>
        <xdr:sp macro="" textlink="">
          <xdr:nvSpPr>
            <xdr:cNvPr id="4106" name="CommandButton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1</xdr:col>
          <xdr:colOff>95250</xdr:colOff>
          <xdr:row>31</xdr:row>
          <xdr:rowOff>4763</xdr:rowOff>
        </xdr:to>
        <xdr:sp macro="" textlink="">
          <xdr:nvSpPr>
            <xdr:cNvPr id="4107" name="CommandButton9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271463</xdr:colOff>
          <xdr:row>29</xdr:row>
          <xdr:rowOff>0</xdr:rowOff>
        </xdr:from>
        <xdr:to>
          <xdr:col>2</xdr:col>
          <xdr:colOff>428625</xdr:colOff>
          <xdr:row>31</xdr:row>
          <xdr:rowOff>4763</xdr:rowOff>
        </xdr:to>
        <xdr:sp macro="" textlink="">
          <xdr:nvSpPr>
            <xdr:cNvPr id="4108" name="CommandButton11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9525</xdr:rowOff>
        </xdr:from>
        <xdr:to>
          <xdr:col>4</xdr:col>
          <xdr:colOff>28575</xdr:colOff>
          <xdr:row>31</xdr:row>
          <xdr:rowOff>14288</xdr:rowOff>
        </xdr:to>
        <xdr:sp macro="" textlink="">
          <xdr:nvSpPr>
            <xdr:cNvPr id="4109" name="CommandButton12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366713</xdr:colOff>
          <xdr:row>11</xdr:row>
          <xdr:rowOff>76200</xdr:rowOff>
        </xdr:from>
        <xdr:to>
          <xdr:col>1</xdr:col>
          <xdr:colOff>461963</xdr:colOff>
          <xdr:row>13</xdr:row>
          <xdr:rowOff>80963</xdr:rowOff>
        </xdr:to>
        <xdr:sp macro="" textlink="">
          <xdr:nvSpPr>
            <xdr:cNvPr id="5121" name="C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857250</xdr:colOff>
          <xdr:row>11</xdr:row>
          <xdr:rowOff>66675</xdr:rowOff>
        </xdr:from>
        <xdr:to>
          <xdr:col>3</xdr:col>
          <xdr:colOff>371475</xdr:colOff>
          <xdr:row>13</xdr:row>
          <xdr:rowOff>71438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400050</xdr:colOff>
          <xdr:row>14</xdr:row>
          <xdr:rowOff>171450</xdr:rowOff>
        </xdr:from>
        <xdr:to>
          <xdr:col>1</xdr:col>
          <xdr:colOff>495300</xdr:colOff>
          <xdr:row>17</xdr:row>
          <xdr:rowOff>0</xdr:rowOff>
        </xdr:to>
        <xdr:sp macro="" textlink="">
          <xdr:nvSpPr>
            <xdr:cNvPr id="5123" name="CommandButton2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838200</xdr:colOff>
          <xdr:row>15</xdr:row>
          <xdr:rowOff>9525</xdr:rowOff>
        </xdr:from>
        <xdr:to>
          <xdr:col>3</xdr:col>
          <xdr:colOff>352425</xdr:colOff>
          <xdr:row>17</xdr:row>
          <xdr:rowOff>14288</xdr:rowOff>
        </xdr:to>
        <xdr:sp macro="" textlink="">
          <xdr:nvSpPr>
            <xdr:cNvPr id="5124" name="CommandButton3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257175</xdr:colOff>
      <xdr:row>24</xdr:row>
      <xdr:rowOff>144780</xdr:rowOff>
    </xdr:from>
    <xdr:to>
      <xdr:col>3</xdr:col>
      <xdr:colOff>534035</xdr:colOff>
      <xdr:row>31</xdr:row>
      <xdr:rowOff>45720</xdr:rowOff>
    </xdr:to>
    <xdr:pic>
      <xdr:nvPicPr>
        <xdr:cNvPr id="11" name="图片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4370070"/>
          <a:ext cx="2903220" cy="1127760"/>
        </a:xfrm>
        <a:prstGeom prst="rect">
          <a:avLst/>
        </a:prstGeom>
        <a:noFill/>
        <a:ln w="9525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800100</xdr:colOff>
          <xdr:row>11</xdr:row>
          <xdr:rowOff>76200</xdr:rowOff>
        </xdr:from>
        <xdr:to>
          <xdr:col>5</xdr:col>
          <xdr:colOff>161925</xdr:colOff>
          <xdr:row>13</xdr:row>
          <xdr:rowOff>80963</xdr:rowOff>
        </xdr:to>
        <xdr:sp macro="" textlink="">
          <xdr:nvSpPr>
            <xdr:cNvPr id="5130" name="CommandButton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3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control" Target="../activeX/activeX11.xml"/><Relationship Id="rId7" Type="http://schemas.openxmlformats.org/officeDocument/2006/relationships/control" Target="../activeX/activeX13.xml"/><Relationship Id="rId12" Type="http://schemas.openxmlformats.org/officeDocument/2006/relationships/image" Target="../media/image16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3.emf"/><Relationship Id="rId11" Type="http://schemas.openxmlformats.org/officeDocument/2006/relationships/control" Target="../activeX/activeX15.xml"/><Relationship Id="rId5" Type="http://schemas.openxmlformats.org/officeDocument/2006/relationships/control" Target="../activeX/activeX12.xml"/><Relationship Id="rId10" Type="http://schemas.openxmlformats.org/officeDocument/2006/relationships/image" Target="../media/image15.emf"/><Relationship Id="rId4" Type="http://schemas.openxmlformats.org/officeDocument/2006/relationships/image" Target="../media/image12.emf"/><Relationship Id="rId9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1.emf"/><Relationship Id="rId18" Type="http://schemas.openxmlformats.org/officeDocument/2006/relationships/control" Target="../activeX/activeX23.xml"/><Relationship Id="rId26" Type="http://schemas.openxmlformats.org/officeDocument/2006/relationships/control" Target="../activeX/activeX27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25.emf"/><Relationship Id="rId7" Type="http://schemas.openxmlformats.org/officeDocument/2006/relationships/image" Target="../media/image18.emf"/><Relationship Id="rId12" Type="http://schemas.openxmlformats.org/officeDocument/2006/relationships/control" Target="../activeX/activeX20.xml"/><Relationship Id="rId17" Type="http://schemas.openxmlformats.org/officeDocument/2006/relationships/image" Target="../media/image23.emf"/><Relationship Id="rId25" Type="http://schemas.openxmlformats.org/officeDocument/2006/relationships/image" Target="../media/image27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2.xml"/><Relationship Id="rId20" Type="http://schemas.openxmlformats.org/officeDocument/2006/relationships/control" Target="../activeX/activeX24.xml"/><Relationship Id="rId29" Type="http://schemas.openxmlformats.org/officeDocument/2006/relationships/image" Target="../media/image2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17.xml"/><Relationship Id="rId11" Type="http://schemas.openxmlformats.org/officeDocument/2006/relationships/image" Target="../media/image20.emf"/><Relationship Id="rId24" Type="http://schemas.openxmlformats.org/officeDocument/2006/relationships/control" Target="../activeX/activeX26.xml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23" Type="http://schemas.openxmlformats.org/officeDocument/2006/relationships/image" Target="../media/image26.emf"/><Relationship Id="rId28" Type="http://schemas.openxmlformats.org/officeDocument/2006/relationships/control" Target="../activeX/activeX28.xml"/><Relationship Id="rId10" Type="http://schemas.openxmlformats.org/officeDocument/2006/relationships/control" Target="../activeX/activeX19.xml"/><Relationship Id="rId19" Type="http://schemas.openxmlformats.org/officeDocument/2006/relationships/image" Target="../media/image24.emf"/><Relationship Id="rId4" Type="http://schemas.openxmlformats.org/officeDocument/2006/relationships/control" Target="../activeX/activeX16.xml"/><Relationship Id="rId9" Type="http://schemas.openxmlformats.org/officeDocument/2006/relationships/image" Target="../media/image19.emf"/><Relationship Id="rId14" Type="http://schemas.openxmlformats.org/officeDocument/2006/relationships/control" Target="../activeX/activeX21.xml"/><Relationship Id="rId22" Type="http://schemas.openxmlformats.org/officeDocument/2006/relationships/control" Target="../activeX/activeX25.xml"/><Relationship Id="rId27" Type="http://schemas.openxmlformats.org/officeDocument/2006/relationships/image" Target="../media/image28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control" Target="../activeX/activeX29.xml"/><Relationship Id="rId7" Type="http://schemas.openxmlformats.org/officeDocument/2006/relationships/control" Target="../activeX/activeX31.xml"/><Relationship Id="rId12" Type="http://schemas.openxmlformats.org/officeDocument/2006/relationships/image" Target="../media/image34.emf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31.emf"/><Relationship Id="rId11" Type="http://schemas.openxmlformats.org/officeDocument/2006/relationships/control" Target="../activeX/activeX33.xml"/><Relationship Id="rId5" Type="http://schemas.openxmlformats.org/officeDocument/2006/relationships/control" Target="../activeX/activeX30.xml"/><Relationship Id="rId10" Type="http://schemas.openxmlformats.org/officeDocument/2006/relationships/image" Target="../media/image33.emf"/><Relationship Id="rId4" Type="http://schemas.openxmlformats.org/officeDocument/2006/relationships/image" Target="../media/image30.emf"/><Relationship Id="rId9" Type="http://schemas.openxmlformats.org/officeDocument/2006/relationships/control" Target="../activeX/activeX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J185"/>
  <sheetViews>
    <sheetView tabSelected="1" workbookViewId="0">
      <selection activeCell="A26" sqref="A26:D33"/>
    </sheetView>
  </sheetViews>
  <sheetFormatPr defaultColWidth="8.86328125" defaultRowHeight="13.9" x14ac:dyDescent="0.4"/>
  <cols>
    <col min="1" max="1" width="15.06640625" customWidth="1"/>
    <col min="2" max="2" width="14.19921875" customWidth="1"/>
    <col min="3" max="3" width="9" customWidth="1"/>
    <col min="4" max="4" width="16" customWidth="1"/>
    <col min="5" max="5" width="9.33203125" customWidth="1"/>
    <col min="6" max="7" width="15" customWidth="1"/>
    <col min="8" max="8" width="21.33203125" customWidth="1"/>
    <col min="9" max="9" width="13.796875" customWidth="1"/>
    <col min="10" max="10" width="21" customWidth="1"/>
    <col min="11" max="11" width="13.33203125" customWidth="1"/>
    <col min="12" max="12" width="17.59765625" customWidth="1"/>
    <col min="13" max="13" width="14.1328125" customWidth="1"/>
    <col min="14" max="14" width="16.73046875" style="6" customWidth="1"/>
    <col min="15" max="15" width="15.46484375" customWidth="1"/>
    <col min="16" max="16" width="17.796875" style="6" customWidth="1"/>
    <col min="17" max="17" width="14.1328125" customWidth="1"/>
    <col min="18" max="18" width="16.265625" customWidth="1"/>
    <col min="19" max="19" width="14.33203125" customWidth="1"/>
    <col min="20" max="20" width="18.06640625" customWidth="1"/>
    <col min="21" max="21" width="14.46484375" customWidth="1"/>
    <col min="22" max="22" width="18.796875" customWidth="1"/>
    <col min="23" max="23" width="13.46484375" customWidth="1"/>
    <col min="24" max="24" width="18.06640625" customWidth="1"/>
    <col min="25" max="25" width="12.33203125" customWidth="1"/>
    <col min="26" max="26" width="8.46484375" customWidth="1"/>
    <col min="27" max="28" width="8.796875"/>
    <col min="29" max="29" width="10.6640625" customWidth="1"/>
    <col min="30" max="30" width="8.796875"/>
    <col min="31" max="31" width="14.1328125" customWidth="1"/>
    <col min="32" max="34" width="8.796875"/>
    <col min="35" max="35" width="13.1328125" customWidth="1"/>
    <col min="36" max="36" width="8.796875"/>
    <col min="37" max="37" width="15.1328125" customWidth="1"/>
    <col min="38" max="38" width="8.796875"/>
    <col min="39" max="39" width="14.46484375" customWidth="1"/>
    <col min="40" max="40" width="12.33203125" customWidth="1"/>
    <col min="41" max="41" width="13" customWidth="1"/>
    <col min="42" max="42" width="15" customWidth="1"/>
    <col min="43" max="43" width="8.796875"/>
    <col min="114" max="114" width="9.19921875"/>
  </cols>
  <sheetData>
    <row r="1" spans="1:114" x14ac:dyDescent="0.4">
      <c r="A1" s="7"/>
      <c r="B1" s="7"/>
      <c r="C1" s="7"/>
      <c r="D1" s="7"/>
      <c r="E1" s="7"/>
      <c r="F1" s="7"/>
      <c r="G1" s="55" t="s">
        <v>0</v>
      </c>
      <c r="H1" s="55"/>
      <c r="I1" s="55" t="s">
        <v>1</v>
      </c>
      <c r="J1" s="55"/>
      <c r="K1" s="55" t="s">
        <v>2</v>
      </c>
      <c r="L1" s="55"/>
      <c r="M1" s="55" t="s">
        <v>3</v>
      </c>
      <c r="N1" s="55"/>
      <c r="O1" s="55" t="s">
        <v>4</v>
      </c>
      <c r="P1" s="55"/>
      <c r="Q1" s="55" t="s">
        <v>5</v>
      </c>
      <c r="R1" s="55"/>
      <c r="S1" s="55" t="s">
        <v>6</v>
      </c>
      <c r="T1" s="55"/>
      <c r="U1" s="55" t="s">
        <v>7</v>
      </c>
      <c r="V1" s="55"/>
      <c r="W1" s="55" t="s">
        <v>8</v>
      </c>
      <c r="X1" s="55"/>
      <c r="Z1" s="46" t="s">
        <v>9</v>
      </c>
      <c r="AA1" s="46"/>
      <c r="AB1" s="46" t="s">
        <v>10</v>
      </c>
      <c r="AC1" s="46"/>
      <c r="AD1" s="46" t="s">
        <v>11</v>
      </c>
      <c r="AE1" s="46"/>
      <c r="AF1" s="46" t="s">
        <v>12</v>
      </c>
      <c r="AG1" s="46"/>
      <c r="AH1" s="46" t="s">
        <v>13</v>
      </c>
      <c r="AI1" s="46"/>
      <c r="AJ1" s="46" t="s">
        <v>14</v>
      </c>
      <c r="AK1" s="46"/>
      <c r="AL1" s="46" t="s">
        <v>15</v>
      </c>
      <c r="AM1" s="46"/>
      <c r="AN1" s="46" t="s">
        <v>16</v>
      </c>
      <c r="AO1" s="46"/>
      <c r="AP1" s="46" t="s">
        <v>17</v>
      </c>
      <c r="AQ1" s="46"/>
    </row>
    <row r="2" spans="1:114" x14ac:dyDescent="0.4">
      <c r="A2" s="51" t="s">
        <v>18</v>
      </c>
      <c r="B2" s="48"/>
      <c r="C2" s="48"/>
      <c r="D2" s="48"/>
      <c r="E2" s="8"/>
      <c r="F2" s="7"/>
      <c r="G2" s="34" t="s">
        <v>19</v>
      </c>
      <c r="H2" s="9" t="s">
        <v>20</v>
      </c>
      <c r="I2" s="34" t="s">
        <v>19</v>
      </c>
      <c r="J2" s="9" t="s">
        <v>20</v>
      </c>
      <c r="K2" s="34" t="s">
        <v>19</v>
      </c>
      <c r="L2" s="9" t="s">
        <v>20</v>
      </c>
      <c r="M2" s="34" t="s">
        <v>19</v>
      </c>
      <c r="N2" s="9" t="s">
        <v>20</v>
      </c>
      <c r="O2" s="34" t="s">
        <v>19</v>
      </c>
      <c r="P2" s="9" t="s">
        <v>20</v>
      </c>
      <c r="Q2" s="34" t="s">
        <v>19</v>
      </c>
      <c r="R2" s="9" t="s">
        <v>20</v>
      </c>
      <c r="S2" s="34" t="s">
        <v>19</v>
      </c>
      <c r="T2" s="9" t="s">
        <v>20</v>
      </c>
      <c r="U2" s="34" t="s">
        <v>19</v>
      </c>
      <c r="V2" s="9" t="s">
        <v>20</v>
      </c>
      <c r="W2" s="34" t="s">
        <v>19</v>
      </c>
      <c r="X2" s="9" t="s">
        <v>20</v>
      </c>
      <c r="Y2" s="24"/>
      <c r="Z2" s="34" t="s">
        <v>21</v>
      </c>
      <c r="AA2" s="34" t="s">
        <v>22</v>
      </c>
      <c r="AB2" s="34" t="s">
        <v>21</v>
      </c>
      <c r="AC2" s="34" t="s">
        <v>22</v>
      </c>
      <c r="AD2" s="34" t="s">
        <v>21</v>
      </c>
      <c r="AE2" s="34" t="s">
        <v>22</v>
      </c>
      <c r="AF2" s="34" t="s">
        <v>21</v>
      </c>
      <c r="AG2" s="34" t="s">
        <v>22</v>
      </c>
      <c r="AH2" s="34" t="s">
        <v>21</v>
      </c>
      <c r="AI2" s="34" t="s">
        <v>22</v>
      </c>
      <c r="AJ2" s="34" t="s">
        <v>21</v>
      </c>
      <c r="AK2" s="34" t="s">
        <v>22</v>
      </c>
      <c r="AL2" s="34" t="s">
        <v>21</v>
      </c>
      <c r="AM2" s="34" t="s">
        <v>22</v>
      </c>
      <c r="AN2" s="34" t="s">
        <v>21</v>
      </c>
      <c r="AO2" s="34" t="s">
        <v>22</v>
      </c>
      <c r="AP2" s="34" t="s">
        <v>21</v>
      </c>
      <c r="AQ2" s="34" t="s">
        <v>22</v>
      </c>
      <c r="DJ2" t="e">
        <f>VLOOKUP(1,#REF!,2,FALSE)</f>
        <v>#REF!</v>
      </c>
    </row>
    <row r="3" spans="1:114" x14ac:dyDescent="0.4">
      <c r="A3" s="48"/>
      <c r="B3" s="48"/>
      <c r="C3" s="48"/>
      <c r="D3" s="48"/>
      <c r="E3" s="47" t="s">
        <v>23</v>
      </c>
      <c r="F3" s="48"/>
      <c r="G3" t="s">
        <v>24</v>
      </c>
      <c r="H3" s="5" t="str">
        <f>IF(IF(EXACT(AA3,G3)=TRUE,"Y","N")="Y","",VLOOKUP(IF(EXACT(AA3,G3)=TRUE,"Y","N"),Z3:AA3,2,FALSE))</f>
        <v/>
      </c>
      <c r="I3" t="s">
        <v>25</v>
      </c>
      <c r="J3" s="5" t="str">
        <f>IF(IF(EXACT(AC3,I3)=TRUE,"Y","N")="Y","",VLOOKUP(IF(EXACT(AC3,I3)=TRUE,"Y","N"),AB3:AC3,2,FALSE))</f>
        <v/>
      </c>
      <c r="K3" t="s">
        <v>26</v>
      </c>
      <c r="L3" s="5" t="str">
        <f>IF(IF(EXACT(AE3,K3)=TRUE,"Y","N")="Y","",VLOOKUP(IF(EXACT(AE3,K3)=TRUE,"Y","N"),AD3:AE3,2,FALSE))</f>
        <v/>
      </c>
      <c r="M3" t="s">
        <v>27</v>
      </c>
      <c r="N3" s="5" t="str">
        <f>IF(IF(EXACT(AG3,M3)=TRUE,"Y","N")="Y","",VLOOKUP(IF(EXACT(AG3,M3)=TRUE,"Y","N"),AF3:AG3,2,FALSE))</f>
        <v/>
      </c>
      <c r="O3" t="s">
        <v>28</v>
      </c>
      <c r="P3" s="5" t="str">
        <f>IF(IF(EXACT(AI3,O3)=TRUE,"Y","N")="Y","",VLOOKUP(IF(EXACT(AI3,O3)=TRUE,"Y","N"),AH3:AI3,2,FALSE))</f>
        <v/>
      </c>
      <c r="Q3" t="s">
        <v>29</v>
      </c>
      <c r="R3" s="5" t="str">
        <f>IF(IF(EXACT(AK3,Q3)=TRUE,"Y","N")="Y","",VLOOKUP(IF(EXACT(AI3,Q3)=TRUE,"Y","N"),AJ3:AK3,2,FALSE))</f>
        <v/>
      </c>
      <c r="S3" t="s">
        <v>30</v>
      </c>
      <c r="T3" s="5" t="str">
        <f>IF(IF(EXACT(AM3,S3)=TRUE,"Y","N")="Y","",VLOOKUP(IF(EXACT(AM3,S3)=TRUE,"Y","N"),AL3:AM3,2,FALSE))</f>
        <v/>
      </c>
      <c r="U3" t="s">
        <v>31</v>
      </c>
      <c r="V3" s="5" t="str">
        <f>IF(IF(EXACT(AO3,U3)=TRUE,"Y","N")="Y","",VLOOKUP(IF(EXACT(AO3,U3)=TRUE,"Y","N"),AN3:AO3,2,FALSE))</f>
        <v/>
      </c>
      <c r="W3" t="s">
        <v>32</v>
      </c>
      <c r="X3" s="5" t="str">
        <f>IF(IF(EXACT(AQ3,W3)=TRUE,"Y","N")="Y","",VLOOKUP(IF(EXACT(AQ3,W3)=TRUE,"Y","N"),AP3:AQ3,2,FALSE))</f>
        <v/>
      </c>
      <c r="Y3" s="24"/>
      <c r="Z3" t="str">
        <f>IF(EXACT(AA3,G3)=TRUE,"Y","N")</f>
        <v>Y</v>
      </c>
      <c r="AA3" t="s">
        <v>24</v>
      </c>
      <c r="AB3" t="str">
        <f>IF(EXACT(AC3,I3)=TRUE,"Y","N")</f>
        <v>Y</v>
      </c>
      <c r="AC3" t="s">
        <v>25</v>
      </c>
      <c r="AD3" t="str">
        <f>IF(EXACT(AE3,K3)=TRUE,"Y","N")</f>
        <v>Y</v>
      </c>
      <c r="AE3" t="s">
        <v>26</v>
      </c>
      <c r="AF3" t="str">
        <f>IF(EXACT(AG3,M3)=TRUE,"Y","N")</f>
        <v>Y</v>
      </c>
      <c r="AG3" t="s">
        <v>27</v>
      </c>
      <c r="AH3" t="str">
        <f>IF(EXACT(AI3,O3)=TRUE,"Y","N")</f>
        <v>Y</v>
      </c>
      <c r="AI3" t="s">
        <v>28</v>
      </c>
      <c r="AJ3" t="str">
        <f>IF(EXACT(AK3,Q3)=TRUE,"Y","N")</f>
        <v>Y</v>
      </c>
      <c r="AK3" t="s">
        <v>29</v>
      </c>
      <c r="AL3" t="str">
        <f>IF(EXACT(AM3,S3)=TRUE,"Y","N")</f>
        <v>Y</v>
      </c>
      <c r="AM3" t="s">
        <v>30</v>
      </c>
      <c r="AN3" t="str">
        <f>IF(EXACT(AO3,U3)=TRUE,"Y","N")</f>
        <v>Y</v>
      </c>
      <c r="AO3" t="s">
        <v>31</v>
      </c>
      <c r="AP3" t="str">
        <f>IF(EXACT(AQ3,W3)=TRUE,"Y","N")</f>
        <v>Y</v>
      </c>
      <c r="AQ3" t="s">
        <v>32</v>
      </c>
    </row>
    <row r="4" spans="1:114" x14ac:dyDescent="0.4">
      <c r="A4" s="2" t="s">
        <v>33</v>
      </c>
      <c r="B4" s="3" t="s">
        <v>34</v>
      </c>
      <c r="C4" s="3" t="s">
        <v>35</v>
      </c>
      <c r="D4" s="4" t="s">
        <v>36</v>
      </c>
      <c r="E4" s="8"/>
      <c r="F4" s="7"/>
      <c r="G4" s="35" t="s">
        <v>4300</v>
      </c>
      <c r="H4" s="5" t="str">
        <f t="shared" ref="H4:H67" si="0">IF(IF(EXACT(AA4,G4)=TRUE,"Y","N")="Y","",VLOOKUP(IF(EXACT(AA4,G4)=TRUE,"Y","N"),Z4:AA4,2,FALSE))</f>
        <v/>
      </c>
      <c r="I4" s="37" t="s">
        <v>4411</v>
      </c>
      <c r="J4" s="5" t="str">
        <f t="shared" ref="J4:J67" si="1">IF(IF(EXACT(AC4,I4)=TRUE,"Y","N")="Y","",VLOOKUP(IF(EXACT(AC4,I4)=TRUE,"Y","N"),AB4:AC4,2,FALSE))</f>
        <v/>
      </c>
      <c r="K4" s="37" t="s">
        <v>4550</v>
      </c>
      <c r="L4" s="5" t="str">
        <f t="shared" ref="L4:L67" si="2">IF(IF(EXACT(AE4,K4)=TRUE,"Y","N")="Y","",VLOOKUP(IF(EXACT(AE4,K4)=TRUE,"Y","N"),AD4:AE4,2,FALSE))</f>
        <v/>
      </c>
      <c r="M4" s="37" t="s">
        <v>4660</v>
      </c>
      <c r="N4" s="5" t="str">
        <f t="shared" ref="N4:N67" si="3">IF(IF(EXACT(AG4,M4)=TRUE,"Y","N")="Y","",VLOOKUP(IF(EXACT(AG4,M4)=TRUE,"Y","N"),AF4:AG4,2,FALSE))</f>
        <v/>
      </c>
      <c r="O4" s="37" t="s">
        <v>4768</v>
      </c>
      <c r="P4" s="5" t="str">
        <f t="shared" ref="P4:P67" si="4">IF(IF(EXACT(AI4,O4)=TRUE,"Y","N")="Y","",VLOOKUP(IF(EXACT(AI4,O4)=TRUE,"Y","N"),AH4:AI4,2,FALSE))</f>
        <v/>
      </c>
      <c r="Q4" s="24" t="s">
        <v>4908</v>
      </c>
      <c r="R4" s="5" t="str">
        <f t="shared" ref="R4:R67" si="5">IF(IF(EXACT(AK4,Q4)=TRUE,"Y","N")="Y","",VLOOKUP(IF(EXACT(AI4,Q4)=TRUE,"Y","N"),AJ4:AK4,2,FALSE))</f>
        <v/>
      </c>
      <c r="S4" s="37" t="s">
        <v>5016</v>
      </c>
      <c r="T4" s="5" t="str">
        <f t="shared" ref="T4:T67" si="6">IF(IF(EXACT(AM4,S4)=TRUE,"Y","N")="Y","",VLOOKUP(IF(EXACT(AM4,S4)=TRUE,"Y","N"),AL4:AM4,2,FALSE))</f>
        <v/>
      </c>
      <c r="U4" s="37" t="s">
        <v>5117</v>
      </c>
      <c r="V4" s="5" t="str">
        <f t="shared" ref="V4:V67" si="7">IF(IF(EXACT(AO4,U4)=TRUE,"Y","N")="Y","",VLOOKUP(IF(EXACT(AO4,U4)=TRUE,"Y","N"),AN4:AO4,2,FALSE))</f>
        <v/>
      </c>
      <c r="W4" s="37" t="s">
        <v>5264</v>
      </c>
      <c r="X4" s="5" t="str">
        <f t="shared" ref="X4:X67" si="8">IF(IF(EXACT(AQ4,W4)=TRUE,"Y","N")="Y","",VLOOKUP(IF(EXACT(AQ4,W4)=TRUE,"Y","N"),AP4:AQ4,2,FALSE))</f>
        <v/>
      </c>
      <c r="Z4" t="str">
        <f>IF(EXACT(AA4,G4)=TRUE,"Y","N")</f>
        <v>Y</v>
      </c>
      <c r="AA4" t="s">
        <v>37</v>
      </c>
      <c r="AB4" t="str">
        <f t="shared" ref="AB4:AB67" si="9">IF(EXACT(AC4,I4)=TRUE,"Y","N")</f>
        <v>Y</v>
      </c>
      <c r="AC4" t="s">
        <v>38</v>
      </c>
      <c r="AD4" t="str">
        <f t="shared" ref="AD4:AD67" si="10">IF(EXACT(AE4,K4)=TRUE,"Y","N")</f>
        <v>Y</v>
      </c>
      <c r="AE4" t="s">
        <v>39</v>
      </c>
      <c r="AF4" t="str">
        <f t="shared" ref="AF4:AF67" si="11">IF(EXACT(AG4,M4)=TRUE,"Y","N")</f>
        <v>Y</v>
      </c>
      <c r="AG4" t="s">
        <v>40</v>
      </c>
      <c r="AH4" t="str">
        <f t="shared" ref="AH4:AH67" si="12">IF(EXACT(AI4,O4)=TRUE,"Y","N")</f>
        <v>Y</v>
      </c>
      <c r="AI4" t="s">
        <v>41</v>
      </c>
      <c r="AJ4" t="str">
        <f t="shared" ref="AJ4:AJ67" si="13">IF(EXACT(AK4,Q4)=TRUE,"Y","N")</f>
        <v>Y</v>
      </c>
      <c r="AK4" t="s">
        <v>42</v>
      </c>
      <c r="AL4" t="str">
        <f t="shared" ref="AL4:AL67" si="14">IF(EXACT(AM4,S4)=TRUE,"Y","N")</f>
        <v>Y</v>
      </c>
      <c r="AM4" t="s">
        <v>43</v>
      </c>
      <c r="AN4" t="str">
        <f t="shared" ref="AN4:AN67" si="15">IF(EXACT(AO4,U4)=TRUE,"Y","N")</f>
        <v>Y</v>
      </c>
      <c r="AO4" t="s">
        <v>44</v>
      </c>
      <c r="AP4" t="str">
        <f t="shared" ref="AP4:AP67" si="16">IF(EXACT(AQ4,W4)=TRUE,"Y","N")</f>
        <v>Y</v>
      </c>
      <c r="AQ4" t="s">
        <v>45</v>
      </c>
    </row>
    <row r="5" spans="1:114" x14ac:dyDescent="0.4">
      <c r="A5" s="11" t="s">
        <v>46</v>
      </c>
      <c r="B5" s="12">
        <f>COUNTA(AA3:AA114)</f>
        <v>112</v>
      </c>
      <c r="C5" s="12">
        <f>COUNTBLANK(H3:H114)</f>
        <v>82</v>
      </c>
      <c r="D5" s="13">
        <f>C5/B5</f>
        <v>0.7321428571428571</v>
      </c>
      <c r="E5" s="8"/>
      <c r="F5" s="7"/>
      <c r="G5" s="36" t="s">
        <v>4301</v>
      </c>
      <c r="H5" s="5" t="str">
        <f t="shared" si="0"/>
        <v/>
      </c>
      <c r="I5" s="37" t="s">
        <v>4412</v>
      </c>
      <c r="J5" s="5" t="str">
        <f t="shared" si="1"/>
        <v/>
      </c>
      <c r="K5" s="37" t="s">
        <v>4551</v>
      </c>
      <c r="L5" s="5" t="str">
        <f t="shared" si="2"/>
        <v/>
      </c>
      <c r="M5" s="37" t="s">
        <v>4404</v>
      </c>
      <c r="N5" s="5" t="str">
        <f t="shared" si="3"/>
        <v>falcon</v>
      </c>
      <c r="O5" s="37" t="s">
        <v>4769</v>
      </c>
      <c r="P5" s="5" t="str">
        <f t="shared" si="4"/>
        <v/>
      </c>
      <c r="Q5" s="37" t="s">
        <v>4909</v>
      </c>
      <c r="R5" s="5" t="str">
        <f t="shared" si="5"/>
        <v/>
      </c>
      <c r="S5" s="37" t="s">
        <v>5017</v>
      </c>
      <c r="T5" s="5" t="str">
        <f t="shared" si="6"/>
        <v/>
      </c>
      <c r="U5" s="37" t="s">
        <v>5118</v>
      </c>
      <c r="V5" s="5" t="str">
        <f t="shared" si="7"/>
        <v>rule</v>
      </c>
      <c r="W5" s="37" t="s">
        <v>5265</v>
      </c>
      <c r="X5" s="5" t="str">
        <f t="shared" si="8"/>
        <v/>
      </c>
      <c r="Z5" t="str">
        <f>IF(EXACT(AA5,G5)=TRUE,"Y","N")</f>
        <v>Y</v>
      </c>
      <c r="AA5" t="s">
        <v>47</v>
      </c>
      <c r="AB5" t="str">
        <f t="shared" si="9"/>
        <v>Y</v>
      </c>
      <c r="AC5" t="s">
        <v>48</v>
      </c>
      <c r="AD5" t="str">
        <f t="shared" si="10"/>
        <v>Y</v>
      </c>
      <c r="AE5" t="s">
        <v>49</v>
      </c>
      <c r="AF5" t="str">
        <f t="shared" si="11"/>
        <v>N</v>
      </c>
      <c r="AG5" t="s">
        <v>50</v>
      </c>
      <c r="AH5" t="str">
        <f t="shared" si="12"/>
        <v>Y</v>
      </c>
      <c r="AI5" t="s">
        <v>51</v>
      </c>
      <c r="AJ5" t="str">
        <f t="shared" si="13"/>
        <v>Y</v>
      </c>
      <c r="AK5" t="s">
        <v>52</v>
      </c>
      <c r="AL5" t="str">
        <f t="shared" si="14"/>
        <v>Y</v>
      </c>
      <c r="AM5" t="s">
        <v>53</v>
      </c>
      <c r="AN5" t="str">
        <f t="shared" si="15"/>
        <v>N</v>
      </c>
      <c r="AO5" t="s">
        <v>54</v>
      </c>
      <c r="AP5" t="str">
        <f t="shared" si="16"/>
        <v>Y</v>
      </c>
      <c r="AQ5" t="s">
        <v>55</v>
      </c>
    </row>
    <row r="6" spans="1:114" x14ac:dyDescent="0.4">
      <c r="A6" s="14" t="s">
        <v>56</v>
      </c>
      <c r="B6" s="15">
        <f>COUNTA(AC3:AC145)</f>
        <v>143</v>
      </c>
      <c r="C6" s="15">
        <f>COUNTBLANK(J3:J145)</f>
        <v>116</v>
      </c>
      <c r="D6" s="16">
        <f t="shared" ref="D6:D14" si="17">C6/B6</f>
        <v>0.81118881118881114</v>
      </c>
      <c r="E6" s="8"/>
      <c r="F6" s="7"/>
      <c r="G6" s="36" t="s">
        <v>4302</v>
      </c>
      <c r="H6" s="5" t="str">
        <f t="shared" si="0"/>
        <v/>
      </c>
      <c r="I6" s="37" t="s">
        <v>4413</v>
      </c>
      <c r="J6" s="5" t="str">
        <f t="shared" si="1"/>
        <v/>
      </c>
      <c r="K6" s="37" t="s">
        <v>4552</v>
      </c>
      <c r="L6" s="5" t="str">
        <f t="shared" si="2"/>
        <v/>
      </c>
      <c r="M6" s="37" t="s">
        <v>4661</v>
      </c>
      <c r="N6" s="5" t="str">
        <f t="shared" si="3"/>
        <v/>
      </c>
      <c r="O6" s="37" t="s">
        <v>4770</v>
      </c>
      <c r="P6" s="5" t="str">
        <f t="shared" si="4"/>
        <v/>
      </c>
      <c r="Q6" s="37" t="s">
        <v>4910</v>
      </c>
      <c r="R6" s="5" t="str">
        <f t="shared" si="5"/>
        <v>muscle</v>
      </c>
      <c r="S6" s="37" t="s">
        <v>5018</v>
      </c>
      <c r="T6" s="5" t="str">
        <f t="shared" si="6"/>
        <v>precaution</v>
      </c>
      <c r="U6" s="37" t="s">
        <v>5119</v>
      </c>
      <c r="V6" s="5" t="str">
        <f t="shared" si="7"/>
        <v/>
      </c>
      <c r="W6" s="37" t="s">
        <v>5266</v>
      </c>
      <c r="X6" s="5" t="str">
        <f t="shared" si="8"/>
        <v/>
      </c>
      <c r="Z6" t="str">
        <f t="shared" ref="Z6:Z69" si="18">IF(EXACT(AA6,AG6)=TRUE,"Y","N")</f>
        <v>N</v>
      </c>
      <c r="AA6" t="s">
        <v>57</v>
      </c>
      <c r="AB6" t="str">
        <f t="shared" si="9"/>
        <v>Y</v>
      </c>
      <c r="AC6" t="s">
        <v>58</v>
      </c>
      <c r="AD6" t="str">
        <f t="shared" si="10"/>
        <v>Y</v>
      </c>
      <c r="AE6" t="s">
        <v>59</v>
      </c>
      <c r="AF6" t="str">
        <f t="shared" si="11"/>
        <v>Y</v>
      </c>
      <c r="AG6" t="s">
        <v>60</v>
      </c>
      <c r="AH6" t="str">
        <f t="shared" si="12"/>
        <v>Y</v>
      </c>
      <c r="AI6" t="s">
        <v>61</v>
      </c>
      <c r="AJ6" t="str">
        <f t="shared" si="13"/>
        <v>N</v>
      </c>
      <c r="AK6" t="s">
        <v>62</v>
      </c>
      <c r="AL6" t="str">
        <f t="shared" si="14"/>
        <v>N</v>
      </c>
      <c r="AM6" t="s">
        <v>63</v>
      </c>
      <c r="AN6" t="str">
        <f t="shared" si="15"/>
        <v>Y</v>
      </c>
      <c r="AO6" t="s">
        <v>64</v>
      </c>
      <c r="AP6" t="str">
        <f t="shared" si="16"/>
        <v>Y</v>
      </c>
      <c r="AQ6" t="s">
        <v>65</v>
      </c>
    </row>
    <row r="7" spans="1:114" x14ac:dyDescent="0.4">
      <c r="A7" s="17" t="s">
        <v>66</v>
      </c>
      <c r="B7" s="18">
        <f>COUNTA(AE3:AE115)</f>
        <v>113</v>
      </c>
      <c r="C7" s="18">
        <f>COUNTBLANK(L3:L115)</f>
        <v>90</v>
      </c>
      <c r="D7" s="19">
        <f t="shared" si="17"/>
        <v>0.79646017699115046</v>
      </c>
      <c r="E7" s="8"/>
      <c r="F7" s="7"/>
      <c r="G7" s="36" t="s">
        <v>4303</v>
      </c>
      <c r="H7" s="5" t="str">
        <f t="shared" si="0"/>
        <v/>
      </c>
      <c r="I7" s="37" t="s">
        <v>4414</v>
      </c>
      <c r="J7" s="5" t="str">
        <f t="shared" si="1"/>
        <v/>
      </c>
      <c r="K7" s="37" t="s">
        <v>4553</v>
      </c>
      <c r="L7" s="5" t="str">
        <f t="shared" si="2"/>
        <v>decorations</v>
      </c>
      <c r="M7" s="37" t="s">
        <v>4662</v>
      </c>
      <c r="N7" s="5" t="str">
        <f t="shared" si="3"/>
        <v>fare</v>
      </c>
      <c r="O7" s="37" t="s">
        <v>4771</v>
      </c>
      <c r="P7" s="5" t="str">
        <f t="shared" si="4"/>
        <v/>
      </c>
      <c r="Q7" s="37" t="s">
        <v>4911</v>
      </c>
      <c r="R7" s="5" t="str">
        <f t="shared" si="5"/>
        <v/>
      </c>
      <c r="S7" s="37" t="s">
        <v>5019</v>
      </c>
      <c r="T7" s="5" t="str">
        <f t="shared" si="6"/>
        <v/>
      </c>
      <c r="U7" s="37" t="s">
        <v>5120</v>
      </c>
      <c r="V7" s="5" t="str">
        <f t="shared" si="7"/>
        <v/>
      </c>
      <c r="W7" s="37" t="s">
        <v>5267</v>
      </c>
      <c r="X7" s="5" t="str">
        <f t="shared" si="8"/>
        <v/>
      </c>
      <c r="Z7" t="str">
        <f t="shared" si="18"/>
        <v>N</v>
      </c>
      <c r="AA7" t="s">
        <v>67</v>
      </c>
      <c r="AB7" t="str">
        <f t="shared" si="9"/>
        <v>Y</v>
      </c>
      <c r="AC7" t="s">
        <v>68</v>
      </c>
      <c r="AD7" t="str">
        <f t="shared" si="10"/>
        <v>N</v>
      </c>
      <c r="AE7" t="s">
        <v>69</v>
      </c>
      <c r="AF7" t="str">
        <f t="shared" si="11"/>
        <v>N</v>
      </c>
      <c r="AG7" t="s">
        <v>70</v>
      </c>
      <c r="AH7" t="str">
        <f t="shared" si="12"/>
        <v>Y</v>
      </c>
      <c r="AI7" t="s">
        <v>71</v>
      </c>
      <c r="AJ7" t="str">
        <f t="shared" si="13"/>
        <v>Y</v>
      </c>
      <c r="AK7" t="s">
        <v>72</v>
      </c>
      <c r="AL7" t="str">
        <f t="shared" si="14"/>
        <v>Y</v>
      </c>
      <c r="AM7" t="s">
        <v>73</v>
      </c>
      <c r="AN7" t="str">
        <f t="shared" si="15"/>
        <v>Y</v>
      </c>
      <c r="AO7" t="s">
        <v>74</v>
      </c>
      <c r="AP7" t="str">
        <f t="shared" si="16"/>
        <v>Y</v>
      </c>
      <c r="AQ7" t="s">
        <v>75</v>
      </c>
    </row>
    <row r="8" spans="1:114" x14ac:dyDescent="0.4">
      <c r="A8" s="14" t="s">
        <v>76</v>
      </c>
      <c r="B8" s="15">
        <f>COUNTA(AG3:AG114)</f>
        <v>112</v>
      </c>
      <c r="C8" s="15">
        <f>COUNTBLANK(N3:N114)</f>
        <v>99</v>
      </c>
      <c r="D8" s="16">
        <f t="shared" si="17"/>
        <v>0.8839285714285714</v>
      </c>
      <c r="E8" s="8"/>
      <c r="F8" s="7"/>
      <c r="G8" s="36" t="s">
        <v>4304</v>
      </c>
      <c r="H8" s="5" t="str">
        <f t="shared" si="0"/>
        <v/>
      </c>
      <c r="I8" s="37" t="s">
        <v>4415</v>
      </c>
      <c r="J8" s="5" t="str">
        <f t="shared" si="1"/>
        <v/>
      </c>
      <c r="K8" s="37" t="s">
        <v>4554</v>
      </c>
      <c r="L8" s="5" t="str">
        <f t="shared" si="2"/>
        <v/>
      </c>
      <c r="M8" s="37" t="s">
        <v>4663</v>
      </c>
      <c r="N8" s="5" t="str">
        <f t="shared" si="3"/>
        <v/>
      </c>
      <c r="O8" s="37" t="s">
        <v>4772</v>
      </c>
      <c r="P8" s="5" t="str">
        <f t="shared" si="4"/>
        <v/>
      </c>
      <c r="Q8" s="37" t="s">
        <v>4912</v>
      </c>
      <c r="R8" s="5" t="str">
        <f t="shared" si="5"/>
        <v/>
      </c>
      <c r="S8" s="37" t="s">
        <v>5020</v>
      </c>
      <c r="T8" s="5" t="str">
        <f t="shared" si="6"/>
        <v/>
      </c>
      <c r="U8" s="37" t="s">
        <v>5121</v>
      </c>
      <c r="V8" s="5" t="str">
        <f t="shared" si="7"/>
        <v/>
      </c>
      <c r="W8" s="37" t="s">
        <v>5268</v>
      </c>
      <c r="X8" s="5" t="str">
        <f t="shared" si="8"/>
        <v/>
      </c>
      <c r="Z8" t="str">
        <f t="shared" si="18"/>
        <v>N</v>
      </c>
      <c r="AA8" t="s">
        <v>77</v>
      </c>
      <c r="AB8" t="str">
        <f t="shared" si="9"/>
        <v>Y</v>
      </c>
      <c r="AC8" t="s">
        <v>78</v>
      </c>
      <c r="AD8" t="str">
        <f t="shared" si="10"/>
        <v>Y</v>
      </c>
      <c r="AE8" t="s">
        <v>79</v>
      </c>
      <c r="AF8" t="str">
        <f t="shared" si="11"/>
        <v>Y</v>
      </c>
      <c r="AG8" t="s">
        <v>80</v>
      </c>
      <c r="AH8" t="str">
        <f t="shared" si="12"/>
        <v>Y</v>
      </c>
      <c r="AI8" t="s">
        <v>81</v>
      </c>
      <c r="AJ8" t="str">
        <f t="shared" si="13"/>
        <v>Y</v>
      </c>
      <c r="AK8" t="s">
        <v>82</v>
      </c>
      <c r="AL8" t="str">
        <f t="shared" si="14"/>
        <v>Y</v>
      </c>
      <c r="AM8" t="s">
        <v>83</v>
      </c>
      <c r="AN8" t="str">
        <f t="shared" si="15"/>
        <v>Y</v>
      </c>
      <c r="AO8" t="s">
        <v>84</v>
      </c>
      <c r="AP8" t="str">
        <f t="shared" si="16"/>
        <v>Y</v>
      </c>
      <c r="AQ8" t="s">
        <v>85</v>
      </c>
    </row>
    <row r="9" spans="1:114" x14ac:dyDescent="0.4">
      <c r="A9" s="17" t="s">
        <v>86</v>
      </c>
      <c r="B9" s="18">
        <f>COUNTA(AI3:AI147)</f>
        <v>145</v>
      </c>
      <c r="C9" s="18">
        <f>COUNTBLANK(P3:P147)</f>
        <v>119</v>
      </c>
      <c r="D9" s="19">
        <f t="shared" si="17"/>
        <v>0.82068965517241377</v>
      </c>
      <c r="E9" s="8"/>
      <c r="F9" s="7"/>
      <c r="G9" s="36" t="s">
        <v>4305</v>
      </c>
      <c r="H9" s="5" t="str">
        <f t="shared" si="0"/>
        <v/>
      </c>
      <c r="I9" s="37" t="s">
        <v>4416</v>
      </c>
      <c r="J9" s="5" t="str">
        <f t="shared" si="1"/>
        <v/>
      </c>
      <c r="K9" s="37" t="s">
        <v>4555</v>
      </c>
      <c r="L9" s="5" t="str">
        <f t="shared" si="2"/>
        <v>delegate</v>
      </c>
      <c r="M9" s="37" t="s">
        <v>4664</v>
      </c>
      <c r="N9" s="5" t="str">
        <f t="shared" si="3"/>
        <v/>
      </c>
      <c r="O9" s="37" t="s">
        <v>4773</v>
      </c>
      <c r="P9" s="5" t="str">
        <f t="shared" si="4"/>
        <v/>
      </c>
      <c r="Q9" s="37" t="s">
        <v>4913</v>
      </c>
      <c r="R9" s="5" t="str">
        <f t="shared" si="5"/>
        <v/>
      </c>
      <c r="S9" s="37" t="s">
        <v>5021</v>
      </c>
      <c r="T9" s="5" t="str">
        <f t="shared" si="6"/>
        <v/>
      </c>
      <c r="U9" s="37" t="s">
        <v>5122</v>
      </c>
      <c r="V9" s="5" t="str">
        <f t="shared" si="7"/>
        <v/>
      </c>
      <c r="W9" s="37" t="s">
        <v>5269</v>
      </c>
      <c r="X9" s="5" t="str">
        <f t="shared" si="8"/>
        <v/>
      </c>
      <c r="Z9" t="str">
        <f t="shared" si="18"/>
        <v>N</v>
      </c>
      <c r="AA9" t="s">
        <v>87</v>
      </c>
      <c r="AB9" t="str">
        <f t="shared" si="9"/>
        <v>Y</v>
      </c>
      <c r="AC9" t="s">
        <v>88</v>
      </c>
      <c r="AD9" t="str">
        <f t="shared" si="10"/>
        <v>N</v>
      </c>
      <c r="AE9" t="s">
        <v>89</v>
      </c>
      <c r="AF9" t="str">
        <f t="shared" si="11"/>
        <v>Y</v>
      </c>
      <c r="AG9" t="s">
        <v>90</v>
      </c>
      <c r="AH9" t="str">
        <f t="shared" si="12"/>
        <v>Y</v>
      </c>
      <c r="AI9" t="s">
        <v>91</v>
      </c>
      <c r="AJ9" t="str">
        <f t="shared" si="13"/>
        <v>Y</v>
      </c>
      <c r="AK9" t="s">
        <v>92</v>
      </c>
      <c r="AL9" t="str">
        <f t="shared" si="14"/>
        <v>Y</v>
      </c>
      <c r="AM9" t="s">
        <v>93</v>
      </c>
      <c r="AN9" t="str">
        <f t="shared" si="15"/>
        <v>Y</v>
      </c>
      <c r="AO9" t="s">
        <v>94</v>
      </c>
      <c r="AP9" t="str">
        <f t="shared" si="16"/>
        <v>Y</v>
      </c>
      <c r="AQ9" t="s">
        <v>95</v>
      </c>
    </row>
    <row r="10" spans="1:114" x14ac:dyDescent="0.4">
      <c r="A10" s="14" t="s">
        <v>96</v>
      </c>
      <c r="B10" s="15">
        <f>COUNTA(AK3:AK115)</f>
        <v>113</v>
      </c>
      <c r="C10" s="15">
        <f>COUNTBLANK(R3:R115)</f>
        <v>91</v>
      </c>
      <c r="D10" s="16">
        <f t="shared" si="17"/>
        <v>0.80530973451327437</v>
      </c>
      <c r="E10" s="8"/>
      <c r="F10" s="7"/>
      <c r="G10" s="36" t="s">
        <v>4306</v>
      </c>
      <c r="H10" s="5" t="str">
        <f t="shared" si="0"/>
        <v/>
      </c>
      <c r="I10" s="37" t="s">
        <v>4417</v>
      </c>
      <c r="J10" s="5" t="str">
        <f t="shared" si="1"/>
        <v/>
      </c>
      <c r="K10" s="37" t="s">
        <v>4556</v>
      </c>
      <c r="L10" s="5" t="str">
        <f t="shared" si="2"/>
        <v/>
      </c>
      <c r="M10" s="37" t="s">
        <v>4665</v>
      </c>
      <c r="N10" s="5" t="str">
        <f t="shared" si="3"/>
        <v/>
      </c>
      <c r="O10" s="37" t="s">
        <v>4774</v>
      </c>
      <c r="P10" s="5" t="str">
        <f t="shared" si="4"/>
        <v/>
      </c>
      <c r="Q10" s="37" t="s">
        <v>4914</v>
      </c>
      <c r="R10" s="5" t="str">
        <f t="shared" si="5"/>
        <v/>
      </c>
      <c r="S10" s="37" t="s">
        <v>5022</v>
      </c>
      <c r="T10" s="5" t="str">
        <f t="shared" si="6"/>
        <v/>
      </c>
      <c r="U10" s="37" t="s">
        <v>5123</v>
      </c>
      <c r="V10" s="5" t="str">
        <f t="shared" si="7"/>
        <v/>
      </c>
      <c r="W10" s="37" t="s">
        <v>5270</v>
      </c>
      <c r="X10" s="5" t="str">
        <f t="shared" si="8"/>
        <v/>
      </c>
      <c r="Z10" t="str">
        <f t="shared" si="18"/>
        <v>N</v>
      </c>
      <c r="AA10" t="s">
        <v>97</v>
      </c>
      <c r="AB10" t="str">
        <f t="shared" si="9"/>
        <v>Y</v>
      </c>
      <c r="AC10" t="s">
        <v>98</v>
      </c>
      <c r="AD10" t="str">
        <f t="shared" si="10"/>
        <v>Y</v>
      </c>
      <c r="AE10" t="s">
        <v>99</v>
      </c>
      <c r="AF10" t="str">
        <f t="shared" si="11"/>
        <v>Y</v>
      </c>
      <c r="AG10" t="s">
        <v>100</v>
      </c>
      <c r="AH10" t="str">
        <f t="shared" si="12"/>
        <v>Y</v>
      </c>
      <c r="AI10" t="s">
        <v>101</v>
      </c>
      <c r="AJ10" t="str">
        <f t="shared" si="13"/>
        <v>Y</v>
      </c>
      <c r="AK10" t="s">
        <v>102</v>
      </c>
      <c r="AL10" t="str">
        <f t="shared" si="14"/>
        <v>Y</v>
      </c>
      <c r="AM10" t="s">
        <v>103</v>
      </c>
      <c r="AN10" t="str">
        <f t="shared" si="15"/>
        <v>Y</v>
      </c>
      <c r="AO10" t="s">
        <v>104</v>
      </c>
      <c r="AP10" t="str">
        <f t="shared" si="16"/>
        <v>Y</v>
      </c>
      <c r="AQ10" t="s">
        <v>105</v>
      </c>
    </row>
    <row r="11" spans="1:114" x14ac:dyDescent="0.4">
      <c r="A11" s="17" t="s">
        <v>106</v>
      </c>
      <c r="B11" s="18">
        <f>COUNTA(AM3:AM106)</f>
        <v>104</v>
      </c>
      <c r="C11" s="18">
        <f>COUNTBLANK(T3:T106)</f>
        <v>89</v>
      </c>
      <c r="D11" s="19">
        <f t="shared" si="17"/>
        <v>0.85576923076923073</v>
      </c>
      <c r="E11" s="8"/>
      <c r="F11" s="23"/>
      <c r="G11" s="36" t="s">
        <v>4307</v>
      </c>
      <c r="H11" s="5" t="str">
        <f t="shared" si="0"/>
        <v/>
      </c>
      <c r="I11" s="37" t="s">
        <v>4418</v>
      </c>
      <c r="J11" s="5" t="str">
        <f t="shared" si="1"/>
        <v/>
      </c>
      <c r="K11" s="37" t="s">
        <v>4557</v>
      </c>
      <c r="L11" s="5" t="str">
        <f t="shared" si="2"/>
        <v/>
      </c>
      <c r="M11" s="37" t="s">
        <v>4666</v>
      </c>
      <c r="N11" s="5" t="str">
        <f t="shared" si="3"/>
        <v/>
      </c>
      <c r="O11" s="37" t="s">
        <v>4775</v>
      </c>
      <c r="P11" s="5" t="str">
        <f t="shared" si="4"/>
        <v/>
      </c>
      <c r="Q11" s="37" t="s">
        <v>4915</v>
      </c>
      <c r="R11" s="5" t="str">
        <f t="shared" si="5"/>
        <v/>
      </c>
      <c r="S11" s="37" t="s">
        <v>5023</v>
      </c>
      <c r="T11" s="5" t="str">
        <f t="shared" si="6"/>
        <v/>
      </c>
      <c r="U11" s="37" t="s">
        <v>5124</v>
      </c>
      <c r="V11" s="5" t="str">
        <f t="shared" si="7"/>
        <v/>
      </c>
      <c r="W11" s="37" t="s">
        <v>5271</v>
      </c>
      <c r="X11" s="5" t="str">
        <f t="shared" si="8"/>
        <v>teeth</v>
      </c>
      <c r="Z11" t="str">
        <f t="shared" si="18"/>
        <v>N</v>
      </c>
      <c r="AA11" t="s">
        <v>107</v>
      </c>
      <c r="AB11" t="str">
        <f t="shared" si="9"/>
        <v>Y</v>
      </c>
      <c r="AC11" t="s">
        <v>108</v>
      </c>
      <c r="AD11" t="str">
        <f t="shared" si="10"/>
        <v>Y</v>
      </c>
      <c r="AE11" t="s">
        <v>109</v>
      </c>
      <c r="AF11" t="str">
        <f t="shared" si="11"/>
        <v>Y</v>
      </c>
      <c r="AG11" t="s">
        <v>110</v>
      </c>
      <c r="AH11" t="str">
        <f t="shared" si="12"/>
        <v>Y</v>
      </c>
      <c r="AI11" t="s">
        <v>111</v>
      </c>
      <c r="AJ11" t="str">
        <f t="shared" si="13"/>
        <v>Y</v>
      </c>
      <c r="AK11" t="s">
        <v>112</v>
      </c>
      <c r="AL11" t="str">
        <f t="shared" si="14"/>
        <v>Y</v>
      </c>
      <c r="AM11" t="s">
        <v>113</v>
      </c>
      <c r="AN11" t="str">
        <f t="shared" si="15"/>
        <v>Y</v>
      </c>
      <c r="AO11" t="s">
        <v>114</v>
      </c>
      <c r="AP11" t="str">
        <f t="shared" si="16"/>
        <v>N</v>
      </c>
      <c r="AQ11" t="s">
        <v>115</v>
      </c>
    </row>
    <row r="12" spans="1:114" x14ac:dyDescent="0.4">
      <c r="A12" s="14" t="s">
        <v>116</v>
      </c>
      <c r="B12" s="15">
        <f>COUNTA(AO3:AO154)</f>
        <v>152</v>
      </c>
      <c r="C12" s="15">
        <f>COUNTBLANK(V3:V154)</f>
        <v>115</v>
      </c>
      <c r="D12" s="16">
        <f t="shared" si="17"/>
        <v>0.75657894736842102</v>
      </c>
      <c r="E12" s="8"/>
      <c r="F12" s="7"/>
      <c r="G12" s="36" t="s">
        <v>4308</v>
      </c>
      <c r="H12" s="5" t="str">
        <f t="shared" si="0"/>
        <v/>
      </c>
      <c r="I12" s="37" t="s">
        <v>4419</v>
      </c>
      <c r="J12" s="5" t="str">
        <f t="shared" si="1"/>
        <v/>
      </c>
      <c r="K12" s="37" t="s">
        <v>4558</v>
      </c>
      <c r="L12" s="5" t="str">
        <f t="shared" si="2"/>
        <v>demonstration</v>
      </c>
      <c r="M12" s="37" t="s">
        <v>4667</v>
      </c>
      <c r="N12" s="5" t="str">
        <f t="shared" si="3"/>
        <v/>
      </c>
      <c r="O12" s="37" t="s">
        <v>4776</v>
      </c>
      <c r="P12" s="5" t="str">
        <f t="shared" si="4"/>
        <v>imports</v>
      </c>
      <c r="Q12" s="37" t="s">
        <v>4916</v>
      </c>
      <c r="R12" s="5" t="str">
        <f t="shared" si="5"/>
        <v/>
      </c>
      <c r="S12" s="37" t="s">
        <v>5024</v>
      </c>
      <c r="T12" s="5" t="str">
        <f t="shared" si="6"/>
        <v/>
      </c>
      <c r="U12" s="37" t="s">
        <v>5125</v>
      </c>
      <c r="V12" s="5" t="str">
        <f t="shared" si="7"/>
        <v/>
      </c>
      <c r="W12" s="37" t="s">
        <v>5272</v>
      </c>
      <c r="X12" s="5" t="str">
        <f t="shared" si="8"/>
        <v/>
      </c>
      <c r="Z12" t="str">
        <f t="shared" si="18"/>
        <v>N</v>
      </c>
      <c r="AA12" t="s">
        <v>117</v>
      </c>
      <c r="AB12" t="str">
        <f t="shared" si="9"/>
        <v>Y</v>
      </c>
      <c r="AC12" t="s">
        <v>118</v>
      </c>
      <c r="AD12" t="str">
        <f t="shared" si="10"/>
        <v>N</v>
      </c>
      <c r="AE12" t="s">
        <v>119</v>
      </c>
      <c r="AF12" t="str">
        <f t="shared" si="11"/>
        <v>Y</v>
      </c>
      <c r="AG12" t="s">
        <v>120</v>
      </c>
      <c r="AH12" t="str">
        <f t="shared" si="12"/>
        <v>N</v>
      </c>
      <c r="AI12" t="s">
        <v>121</v>
      </c>
      <c r="AJ12" t="str">
        <f t="shared" si="13"/>
        <v>Y</v>
      </c>
      <c r="AK12" t="s">
        <v>122</v>
      </c>
      <c r="AL12" t="str">
        <f t="shared" si="14"/>
        <v>Y</v>
      </c>
      <c r="AM12" t="s">
        <v>123</v>
      </c>
      <c r="AN12" t="str">
        <f t="shared" si="15"/>
        <v>Y</v>
      </c>
      <c r="AO12" t="s">
        <v>124</v>
      </c>
      <c r="AP12" t="str">
        <f t="shared" si="16"/>
        <v>Y</v>
      </c>
      <c r="AQ12" t="s">
        <v>125</v>
      </c>
    </row>
    <row r="13" spans="1:114" x14ac:dyDescent="0.4">
      <c r="A13" s="17" t="s">
        <v>126</v>
      </c>
      <c r="B13" s="18">
        <f>COUNTA(AQ3:AQ144)</f>
        <v>142</v>
      </c>
      <c r="C13" s="18">
        <f>COUNTBLANK(X3:X144)</f>
        <v>117</v>
      </c>
      <c r="D13" s="19">
        <f t="shared" si="17"/>
        <v>0.823943661971831</v>
      </c>
      <c r="E13" s="8"/>
      <c r="F13" s="7"/>
      <c r="G13" s="36" t="s">
        <v>4309</v>
      </c>
      <c r="H13" s="5" t="str">
        <f t="shared" si="0"/>
        <v>advertisements</v>
      </c>
      <c r="I13" s="37" t="s">
        <v>4420</v>
      </c>
      <c r="J13" s="5" t="str">
        <f t="shared" si="1"/>
        <v/>
      </c>
      <c r="K13" s="37" t="s">
        <v>4559</v>
      </c>
      <c r="L13" s="5" t="str">
        <f t="shared" si="2"/>
        <v/>
      </c>
      <c r="M13" s="37" t="s">
        <v>4668</v>
      </c>
      <c r="N13" s="5" t="str">
        <f t="shared" si="3"/>
        <v>feast</v>
      </c>
      <c r="O13" s="37" t="s">
        <v>4777</v>
      </c>
      <c r="P13" s="5" t="str">
        <f t="shared" si="4"/>
        <v/>
      </c>
      <c r="Q13" s="37" t="s">
        <v>4917</v>
      </c>
      <c r="R13" s="5" t="str">
        <f t="shared" si="5"/>
        <v>naught=nought</v>
      </c>
      <c r="S13" s="37" t="s">
        <v>5025</v>
      </c>
      <c r="T13" s="5" t="str">
        <f t="shared" si="6"/>
        <v>president</v>
      </c>
      <c r="U13" s="37" t="s">
        <v>5126</v>
      </c>
      <c r="V13" s="5" t="str">
        <f t="shared" si="7"/>
        <v/>
      </c>
      <c r="W13" s="37" t="s">
        <v>5273</v>
      </c>
      <c r="X13" s="5" t="str">
        <f t="shared" si="8"/>
        <v>telescope</v>
      </c>
      <c r="Z13" t="str">
        <f t="shared" si="18"/>
        <v>N</v>
      </c>
      <c r="AA13" t="s">
        <v>127</v>
      </c>
      <c r="AB13" t="str">
        <f t="shared" si="9"/>
        <v>Y</v>
      </c>
      <c r="AC13" t="s">
        <v>128</v>
      </c>
      <c r="AD13" t="str">
        <f t="shared" si="10"/>
        <v>Y</v>
      </c>
      <c r="AE13" t="s">
        <v>129</v>
      </c>
      <c r="AF13" t="str">
        <f t="shared" si="11"/>
        <v>N</v>
      </c>
      <c r="AG13" t="s">
        <v>130</v>
      </c>
      <c r="AH13" t="str">
        <f t="shared" si="12"/>
        <v>Y</v>
      </c>
      <c r="AI13" t="s">
        <v>131</v>
      </c>
      <c r="AJ13" t="str">
        <f t="shared" si="13"/>
        <v>N</v>
      </c>
      <c r="AK13" t="s">
        <v>132</v>
      </c>
      <c r="AL13" t="str">
        <f t="shared" si="14"/>
        <v>N</v>
      </c>
      <c r="AM13" t="s">
        <v>133</v>
      </c>
      <c r="AN13" t="str">
        <f t="shared" si="15"/>
        <v>Y</v>
      </c>
      <c r="AO13" t="s">
        <v>134</v>
      </c>
      <c r="AP13" t="str">
        <f t="shared" si="16"/>
        <v>N</v>
      </c>
      <c r="AQ13" t="s">
        <v>135</v>
      </c>
    </row>
    <row r="14" spans="1:114" x14ac:dyDescent="0.4">
      <c r="A14" s="20" t="s">
        <v>136</v>
      </c>
      <c r="B14" s="21">
        <f>SUM(B5:B13)</f>
        <v>1136</v>
      </c>
      <c r="C14" s="21">
        <f>SUM(C5:C13)</f>
        <v>918</v>
      </c>
      <c r="D14" s="22">
        <f t="shared" si="17"/>
        <v>0.80809859154929575</v>
      </c>
      <c r="E14" s="8"/>
      <c r="F14" s="7"/>
      <c r="G14" s="36" t="s">
        <v>4310</v>
      </c>
      <c r="H14" s="5" t="str">
        <f t="shared" si="0"/>
        <v/>
      </c>
      <c r="I14" s="37" t="s">
        <v>4421</v>
      </c>
      <c r="J14" s="5" t="str">
        <f t="shared" si="1"/>
        <v/>
      </c>
      <c r="K14" s="37" t="s">
        <v>4560</v>
      </c>
      <c r="L14" s="5" t="str">
        <f t="shared" si="2"/>
        <v/>
      </c>
      <c r="M14" s="37" t="s">
        <v>4669</v>
      </c>
      <c r="N14" s="5" t="str">
        <f t="shared" si="3"/>
        <v/>
      </c>
      <c r="O14" s="37" t="s">
        <v>4778</v>
      </c>
      <c r="P14" s="5" t="str">
        <f t="shared" si="4"/>
        <v/>
      </c>
      <c r="Q14" s="37" t="s">
        <v>4918</v>
      </c>
      <c r="R14" s="5" t="str">
        <f t="shared" si="5"/>
        <v/>
      </c>
      <c r="S14" s="37" t="s">
        <v>5026</v>
      </c>
      <c r="T14" s="5" t="str">
        <f t="shared" si="6"/>
        <v/>
      </c>
      <c r="U14" s="37" t="s">
        <v>5127</v>
      </c>
      <c r="V14" s="5" t="str">
        <f t="shared" si="7"/>
        <v/>
      </c>
      <c r="W14" s="37" t="s">
        <v>5274</v>
      </c>
      <c r="X14" s="5" t="str">
        <f t="shared" si="8"/>
        <v/>
      </c>
      <c r="Z14" t="str">
        <f t="shared" si="18"/>
        <v>N</v>
      </c>
      <c r="AA14" t="s">
        <v>137</v>
      </c>
      <c r="AB14" t="str">
        <f t="shared" si="9"/>
        <v>Y</v>
      </c>
      <c r="AC14" t="s">
        <v>138</v>
      </c>
      <c r="AD14" t="str">
        <f t="shared" si="10"/>
        <v>Y</v>
      </c>
      <c r="AE14" t="s">
        <v>139</v>
      </c>
      <c r="AF14" t="str">
        <f t="shared" si="11"/>
        <v>Y</v>
      </c>
      <c r="AG14" t="s">
        <v>140</v>
      </c>
      <c r="AH14" t="str">
        <f t="shared" si="12"/>
        <v>Y</v>
      </c>
      <c r="AI14" t="s">
        <v>141</v>
      </c>
      <c r="AJ14" t="str">
        <f t="shared" si="13"/>
        <v>Y</v>
      </c>
      <c r="AK14" t="s">
        <v>142</v>
      </c>
      <c r="AL14" t="str">
        <f t="shared" si="14"/>
        <v>Y</v>
      </c>
      <c r="AM14" t="s">
        <v>143</v>
      </c>
      <c r="AN14" t="str">
        <f t="shared" si="15"/>
        <v>Y</v>
      </c>
      <c r="AO14" t="s">
        <v>144</v>
      </c>
      <c r="AP14" t="str">
        <f t="shared" si="16"/>
        <v>Y</v>
      </c>
      <c r="AQ14" t="s">
        <v>145</v>
      </c>
    </row>
    <row r="15" spans="1:114" x14ac:dyDescent="0.4">
      <c r="A15" s="8"/>
      <c r="B15" s="8"/>
      <c r="C15" s="8"/>
      <c r="D15" s="8"/>
      <c r="E15" s="8"/>
      <c r="F15" s="7"/>
      <c r="G15" s="36" t="s">
        <v>4311</v>
      </c>
      <c r="H15" s="5" t="str">
        <f t="shared" si="0"/>
        <v/>
      </c>
      <c r="I15" s="37" t="s">
        <v>4422</v>
      </c>
      <c r="J15" s="5" t="str">
        <f t="shared" si="1"/>
        <v/>
      </c>
      <c r="K15" s="37" t="s">
        <v>4561</v>
      </c>
      <c r="L15" s="5" t="str">
        <f t="shared" si="2"/>
        <v/>
      </c>
      <c r="M15" s="37" t="s">
        <v>4670</v>
      </c>
      <c r="N15" s="5" t="str">
        <f t="shared" si="3"/>
        <v/>
      </c>
      <c r="O15" s="37" t="s">
        <v>4779</v>
      </c>
      <c r="P15" s="5" t="str">
        <f t="shared" si="4"/>
        <v/>
      </c>
      <c r="Q15" s="37" t="s">
        <v>4919</v>
      </c>
      <c r="R15" s="5" t="str">
        <f t="shared" si="5"/>
        <v/>
      </c>
      <c r="S15" s="37" t="s">
        <v>5027</v>
      </c>
      <c r="T15" s="5" t="str">
        <f t="shared" si="6"/>
        <v/>
      </c>
      <c r="U15" s="37" t="s">
        <v>5128</v>
      </c>
      <c r="V15" s="5" t="str">
        <f t="shared" si="7"/>
        <v/>
      </c>
      <c r="W15" s="37" t="s">
        <v>5275</v>
      </c>
      <c r="X15" s="5" t="str">
        <f t="shared" si="8"/>
        <v/>
      </c>
      <c r="Z15" t="str">
        <f t="shared" si="18"/>
        <v>N</v>
      </c>
      <c r="AA15" t="s">
        <v>146</v>
      </c>
      <c r="AB15" t="str">
        <f t="shared" si="9"/>
        <v>Y</v>
      </c>
      <c r="AC15" t="s">
        <v>147</v>
      </c>
      <c r="AD15" t="str">
        <f t="shared" si="10"/>
        <v>Y</v>
      </c>
      <c r="AE15" t="s">
        <v>148</v>
      </c>
      <c r="AF15" t="str">
        <f t="shared" si="11"/>
        <v>Y</v>
      </c>
      <c r="AG15" t="s">
        <v>149</v>
      </c>
      <c r="AH15" t="str">
        <f t="shared" si="12"/>
        <v>Y</v>
      </c>
      <c r="AI15" t="s">
        <v>150</v>
      </c>
      <c r="AJ15" t="str">
        <f t="shared" si="13"/>
        <v>Y</v>
      </c>
      <c r="AK15" t="s">
        <v>151</v>
      </c>
      <c r="AL15" t="str">
        <f t="shared" si="14"/>
        <v>Y</v>
      </c>
      <c r="AM15" t="s">
        <v>152</v>
      </c>
      <c r="AN15" t="str">
        <f t="shared" si="15"/>
        <v>Y</v>
      </c>
      <c r="AO15" t="s">
        <v>153</v>
      </c>
      <c r="AP15" t="str">
        <f t="shared" si="16"/>
        <v>Y</v>
      </c>
      <c r="AQ15" t="s">
        <v>154</v>
      </c>
    </row>
    <row r="16" spans="1:114" x14ac:dyDescent="0.4">
      <c r="A16" s="8"/>
      <c r="B16" s="8"/>
      <c r="C16" s="8"/>
      <c r="D16" s="8"/>
      <c r="E16" s="8"/>
      <c r="F16" s="7"/>
      <c r="G16" s="36" t="s">
        <v>4312</v>
      </c>
      <c r="H16" s="5" t="str">
        <f t="shared" si="0"/>
        <v/>
      </c>
      <c r="I16" s="37" t="s">
        <v>4423</v>
      </c>
      <c r="J16" s="5" t="str">
        <f t="shared" si="1"/>
        <v/>
      </c>
      <c r="K16" s="37" t="s">
        <v>4562</v>
      </c>
      <c r="L16" s="5" t="str">
        <f t="shared" si="2"/>
        <v/>
      </c>
      <c r="M16" s="37" t="s">
        <v>4671</v>
      </c>
      <c r="N16" s="5" t="str">
        <f t="shared" si="3"/>
        <v/>
      </c>
      <c r="O16" s="37" t="s">
        <v>4780</v>
      </c>
      <c r="P16" s="5" t="str">
        <f t="shared" si="4"/>
        <v/>
      </c>
      <c r="Q16" s="37" t="s">
        <v>4920</v>
      </c>
      <c r="R16" s="5" t="str">
        <f t="shared" si="5"/>
        <v/>
      </c>
      <c r="S16" s="37" t="s">
        <v>5028</v>
      </c>
      <c r="T16" s="5" t="str">
        <f t="shared" si="6"/>
        <v/>
      </c>
      <c r="U16" s="37" t="s">
        <v>5129</v>
      </c>
      <c r="V16" s="5" t="str">
        <f t="shared" si="7"/>
        <v>sandal</v>
      </c>
      <c r="W16" s="37" t="s">
        <v>5276</v>
      </c>
      <c r="X16" s="5" t="str">
        <f t="shared" si="8"/>
        <v/>
      </c>
      <c r="Z16" t="str">
        <f t="shared" si="18"/>
        <v>N</v>
      </c>
      <c r="AA16" t="s">
        <v>155</v>
      </c>
      <c r="AB16" t="str">
        <f t="shared" si="9"/>
        <v>Y</v>
      </c>
      <c r="AC16" t="s">
        <v>156</v>
      </c>
      <c r="AD16" t="str">
        <f t="shared" si="10"/>
        <v>Y</v>
      </c>
      <c r="AE16" t="s">
        <v>157</v>
      </c>
      <c r="AF16" t="str">
        <f t="shared" si="11"/>
        <v>Y</v>
      </c>
      <c r="AG16" t="s">
        <v>158</v>
      </c>
      <c r="AH16" t="str">
        <f t="shared" si="12"/>
        <v>Y</v>
      </c>
      <c r="AI16" t="s">
        <v>159</v>
      </c>
      <c r="AJ16" t="str">
        <f t="shared" si="13"/>
        <v>Y</v>
      </c>
      <c r="AK16" t="s">
        <v>160</v>
      </c>
      <c r="AL16" t="str">
        <f t="shared" si="14"/>
        <v>Y</v>
      </c>
      <c r="AM16" t="s">
        <v>161</v>
      </c>
      <c r="AN16" t="str">
        <f t="shared" si="15"/>
        <v>N</v>
      </c>
      <c r="AO16" t="s">
        <v>162</v>
      </c>
      <c r="AP16" t="str">
        <f t="shared" si="16"/>
        <v>Y</v>
      </c>
      <c r="AQ16" t="s">
        <v>163</v>
      </c>
    </row>
    <row r="17" spans="1:43" x14ac:dyDescent="0.4">
      <c r="A17" s="8"/>
      <c r="B17" s="8"/>
      <c r="C17" s="8"/>
      <c r="D17" s="8"/>
      <c r="E17" s="8"/>
      <c r="F17" s="7"/>
      <c r="G17" s="36" t="s">
        <v>4313</v>
      </c>
      <c r="H17" s="5" t="str">
        <f t="shared" si="0"/>
        <v/>
      </c>
      <c r="I17" s="37" t="s">
        <v>4424</v>
      </c>
      <c r="J17" s="5" t="str">
        <f t="shared" si="1"/>
        <v/>
      </c>
      <c r="K17" s="37" t="s">
        <v>4563</v>
      </c>
      <c r="L17" s="5" t="str">
        <f t="shared" si="2"/>
        <v>description</v>
      </c>
      <c r="M17" s="37" t="s">
        <v>4672</v>
      </c>
      <c r="N17" s="5" t="str">
        <f t="shared" si="3"/>
        <v/>
      </c>
      <c r="O17" s="37" t="s">
        <v>4781</v>
      </c>
      <c r="P17" s="5" t="str">
        <f t="shared" si="4"/>
        <v/>
      </c>
      <c r="Q17" s="37" t="s">
        <v>4921</v>
      </c>
      <c r="R17" s="5" t="str">
        <f t="shared" si="5"/>
        <v/>
      </c>
      <c r="S17" s="37" t="s">
        <v>5029</v>
      </c>
      <c r="T17" s="5" t="str">
        <f t="shared" si="6"/>
        <v/>
      </c>
      <c r="U17" s="37" t="s">
        <v>5130</v>
      </c>
      <c r="V17" s="5" t="str">
        <f t="shared" si="7"/>
        <v>satellite</v>
      </c>
      <c r="W17" s="37" t="s">
        <v>5277</v>
      </c>
      <c r="X17" s="5" t="str">
        <f t="shared" si="8"/>
        <v/>
      </c>
      <c r="Z17" t="str">
        <f t="shared" si="18"/>
        <v>N</v>
      </c>
      <c r="AA17" t="s">
        <v>164</v>
      </c>
      <c r="AB17" t="str">
        <f t="shared" si="9"/>
        <v>Y</v>
      </c>
      <c r="AC17" t="s">
        <v>165</v>
      </c>
      <c r="AD17" t="str">
        <f t="shared" si="10"/>
        <v>N</v>
      </c>
      <c r="AE17" t="s">
        <v>166</v>
      </c>
      <c r="AF17" t="str">
        <f t="shared" si="11"/>
        <v>Y</v>
      </c>
      <c r="AG17" t="s">
        <v>167</v>
      </c>
      <c r="AH17" t="str">
        <f t="shared" si="12"/>
        <v>Y</v>
      </c>
      <c r="AI17" t="s">
        <v>168</v>
      </c>
      <c r="AJ17" t="str">
        <f t="shared" si="13"/>
        <v>Y</v>
      </c>
      <c r="AK17" t="s">
        <v>169</v>
      </c>
      <c r="AL17" t="str">
        <f t="shared" si="14"/>
        <v>Y</v>
      </c>
      <c r="AM17" t="s">
        <v>170</v>
      </c>
      <c r="AN17" t="str">
        <f t="shared" si="15"/>
        <v>N</v>
      </c>
      <c r="AO17" t="s">
        <v>171</v>
      </c>
      <c r="AP17" t="str">
        <f t="shared" si="16"/>
        <v>Y</v>
      </c>
      <c r="AQ17" t="s">
        <v>172</v>
      </c>
    </row>
    <row r="18" spans="1:43" x14ac:dyDescent="0.4">
      <c r="A18" s="8"/>
      <c r="B18" s="8"/>
      <c r="C18" s="8"/>
      <c r="D18" s="8"/>
      <c r="E18" s="8"/>
      <c r="F18" s="7"/>
      <c r="G18" s="37" t="s">
        <v>4314</v>
      </c>
      <c r="H18" s="5" t="str">
        <f t="shared" si="0"/>
        <v/>
      </c>
      <c r="I18" s="37" t="s">
        <v>4425</v>
      </c>
      <c r="J18" s="5" t="str">
        <f t="shared" si="1"/>
        <v/>
      </c>
      <c r="K18" s="37" t="s">
        <v>4564</v>
      </c>
      <c r="L18" s="5" t="str">
        <f t="shared" si="2"/>
        <v/>
      </c>
      <c r="M18" s="37" t="s">
        <v>4673</v>
      </c>
      <c r="N18" s="5" t="str">
        <f t="shared" si="3"/>
        <v/>
      </c>
      <c r="O18" s="37" t="s">
        <v>4782</v>
      </c>
      <c r="P18" s="5" t="str">
        <f t="shared" si="4"/>
        <v/>
      </c>
      <c r="Q18" s="37" t="s">
        <v>4922</v>
      </c>
      <c r="R18" s="5" t="str">
        <f t="shared" si="5"/>
        <v/>
      </c>
      <c r="S18" s="37" t="s">
        <v>5030</v>
      </c>
      <c r="T18" s="5" t="str">
        <f t="shared" si="6"/>
        <v>prize</v>
      </c>
      <c r="U18" s="37" t="s">
        <v>5131</v>
      </c>
      <c r="V18" s="5" t="str">
        <f t="shared" si="7"/>
        <v>sauce</v>
      </c>
      <c r="W18" s="37" t="s">
        <v>5278</v>
      </c>
      <c r="X18" s="5" t="str">
        <f t="shared" si="8"/>
        <v/>
      </c>
      <c r="Z18" t="str">
        <f t="shared" si="18"/>
        <v>N</v>
      </c>
      <c r="AA18" t="s">
        <v>173</v>
      </c>
      <c r="AB18" t="str">
        <f t="shared" si="9"/>
        <v>Y</v>
      </c>
      <c r="AC18" t="s">
        <v>174</v>
      </c>
      <c r="AD18" t="str">
        <f t="shared" si="10"/>
        <v>Y</v>
      </c>
      <c r="AE18" t="s">
        <v>175</v>
      </c>
      <c r="AF18" t="str">
        <f t="shared" si="11"/>
        <v>Y</v>
      </c>
      <c r="AG18" t="s">
        <v>176</v>
      </c>
      <c r="AH18" t="str">
        <f t="shared" si="12"/>
        <v>Y</v>
      </c>
      <c r="AI18" t="s">
        <v>177</v>
      </c>
      <c r="AJ18" t="str">
        <f t="shared" si="13"/>
        <v>Y</v>
      </c>
      <c r="AK18" t="s">
        <v>178</v>
      </c>
      <c r="AL18" t="str">
        <f t="shared" si="14"/>
        <v>N</v>
      </c>
      <c r="AM18" t="s">
        <v>179</v>
      </c>
      <c r="AN18" t="str">
        <f t="shared" si="15"/>
        <v>N</v>
      </c>
      <c r="AO18" t="s">
        <v>180</v>
      </c>
      <c r="AP18" t="str">
        <f t="shared" si="16"/>
        <v>Y</v>
      </c>
      <c r="AQ18" t="s">
        <v>181</v>
      </c>
    </row>
    <row r="19" spans="1:43" x14ac:dyDescent="0.4">
      <c r="A19" s="8"/>
      <c r="B19" s="8"/>
      <c r="C19" s="8"/>
      <c r="D19" s="8"/>
      <c r="E19" s="8"/>
      <c r="F19" s="7"/>
      <c r="G19" s="37" t="s">
        <v>4315</v>
      </c>
      <c r="H19" s="5" t="str">
        <f t="shared" si="0"/>
        <v/>
      </c>
      <c r="I19" s="37" t="s">
        <v>4426</v>
      </c>
      <c r="J19" s="5" t="str">
        <f t="shared" si="1"/>
        <v/>
      </c>
      <c r="K19" s="37" t="s">
        <v>4565</v>
      </c>
      <c r="L19" s="5" t="str">
        <f t="shared" si="2"/>
        <v/>
      </c>
      <c r="M19" s="37" t="s">
        <v>4674</v>
      </c>
      <c r="N19" s="5" t="str">
        <f t="shared" si="3"/>
        <v/>
      </c>
      <c r="O19" s="37" t="s">
        <v>4783</v>
      </c>
      <c r="P19" s="5" t="str">
        <f t="shared" si="4"/>
        <v/>
      </c>
      <c r="Q19" s="37" t="s">
        <v>4917</v>
      </c>
      <c r="R19" s="5" t="str">
        <f t="shared" si="5"/>
        <v/>
      </c>
      <c r="S19" s="37" t="s">
        <v>5031</v>
      </c>
      <c r="T19" s="5" t="str">
        <f t="shared" si="6"/>
        <v/>
      </c>
      <c r="U19" s="37" t="s">
        <v>5132</v>
      </c>
      <c r="V19" s="5" t="str">
        <f t="shared" si="7"/>
        <v/>
      </c>
      <c r="W19" s="37" t="s">
        <v>5279</v>
      </c>
      <c r="X19" s="5" t="str">
        <f t="shared" si="8"/>
        <v/>
      </c>
      <c r="Z19" t="str">
        <f t="shared" si="18"/>
        <v>N</v>
      </c>
      <c r="AA19" t="s">
        <v>182</v>
      </c>
      <c r="AB19" t="str">
        <f t="shared" si="9"/>
        <v>Y</v>
      </c>
      <c r="AC19" s="36" t="s">
        <v>5402</v>
      </c>
      <c r="AD19" t="str">
        <f t="shared" si="10"/>
        <v>Y</v>
      </c>
      <c r="AE19" t="s">
        <v>183</v>
      </c>
      <c r="AF19" t="str">
        <f t="shared" si="11"/>
        <v>Y</v>
      </c>
      <c r="AG19" t="s">
        <v>184</v>
      </c>
      <c r="AH19" t="str">
        <f t="shared" si="12"/>
        <v>Y</v>
      </c>
      <c r="AI19" t="s">
        <v>185</v>
      </c>
      <c r="AJ19" t="str">
        <f t="shared" si="13"/>
        <v>Y</v>
      </c>
      <c r="AK19" t="s">
        <v>186</v>
      </c>
      <c r="AL19" t="str">
        <f t="shared" si="14"/>
        <v>Y</v>
      </c>
      <c r="AM19" t="s">
        <v>187</v>
      </c>
      <c r="AN19" t="str">
        <f t="shared" si="15"/>
        <v>Y</v>
      </c>
      <c r="AO19" t="s">
        <v>188</v>
      </c>
      <c r="AP19" t="str">
        <f t="shared" si="16"/>
        <v>Y</v>
      </c>
      <c r="AQ19" t="s">
        <v>189</v>
      </c>
    </row>
    <row r="20" spans="1:43" x14ac:dyDescent="0.4">
      <c r="A20" s="8"/>
      <c r="B20" s="8"/>
      <c r="C20" s="8"/>
      <c r="D20" s="8"/>
      <c r="E20" s="8"/>
      <c r="F20" s="7"/>
      <c r="G20" s="37" t="s">
        <v>4316</v>
      </c>
      <c r="H20" s="5" t="str">
        <f t="shared" si="0"/>
        <v/>
      </c>
      <c r="I20" s="37" t="s">
        <v>4427</v>
      </c>
      <c r="J20" s="5" t="str">
        <f t="shared" si="1"/>
        <v/>
      </c>
      <c r="K20" s="37" t="s">
        <v>4566</v>
      </c>
      <c r="L20" s="5" t="str">
        <f t="shared" si="2"/>
        <v/>
      </c>
      <c r="M20" s="37" t="s">
        <v>4675</v>
      </c>
      <c r="N20" s="5" t="str">
        <f t="shared" si="3"/>
        <v/>
      </c>
      <c r="O20" s="37" t="s">
        <v>4784</v>
      </c>
      <c r="P20" s="5" t="str">
        <f t="shared" si="4"/>
        <v/>
      </c>
      <c r="Q20" s="37" t="s">
        <v>4923</v>
      </c>
      <c r="R20" s="5" t="str">
        <f t="shared" si="5"/>
        <v/>
      </c>
      <c r="S20" s="37" t="s">
        <v>5032</v>
      </c>
      <c r="T20" s="5" t="str">
        <f t="shared" si="6"/>
        <v/>
      </c>
      <c r="U20" s="37" t="s">
        <v>5133</v>
      </c>
      <c r="V20" s="5" t="str">
        <f t="shared" si="7"/>
        <v/>
      </c>
      <c r="W20" s="37" t="s">
        <v>5280</v>
      </c>
      <c r="X20" s="5" t="str">
        <f t="shared" si="8"/>
        <v/>
      </c>
      <c r="Z20" t="str">
        <f t="shared" si="18"/>
        <v>N</v>
      </c>
      <c r="AA20" t="s">
        <v>190</v>
      </c>
      <c r="AB20" t="str">
        <f t="shared" si="9"/>
        <v>Y</v>
      </c>
      <c r="AC20" t="s">
        <v>191</v>
      </c>
      <c r="AD20" t="str">
        <f t="shared" si="10"/>
        <v>Y</v>
      </c>
      <c r="AE20" t="s">
        <v>192</v>
      </c>
      <c r="AF20" t="str">
        <f t="shared" si="11"/>
        <v>Y</v>
      </c>
      <c r="AG20" t="s">
        <v>193</v>
      </c>
      <c r="AH20" t="str">
        <f t="shared" si="12"/>
        <v>Y</v>
      </c>
      <c r="AI20" t="s">
        <v>194</v>
      </c>
      <c r="AJ20" t="str">
        <f t="shared" si="13"/>
        <v>Y</v>
      </c>
      <c r="AK20" t="s">
        <v>195</v>
      </c>
      <c r="AL20" t="str">
        <f t="shared" si="14"/>
        <v>Y</v>
      </c>
      <c r="AM20" t="s">
        <v>196</v>
      </c>
      <c r="AN20" t="str">
        <f t="shared" si="15"/>
        <v>Y</v>
      </c>
      <c r="AO20" t="s">
        <v>197</v>
      </c>
      <c r="AP20" t="str">
        <f t="shared" si="16"/>
        <v>Y</v>
      </c>
      <c r="AQ20" t="s">
        <v>198</v>
      </c>
    </row>
    <row r="21" spans="1:43" x14ac:dyDescent="0.4">
      <c r="A21" s="8"/>
      <c r="B21" s="8"/>
      <c r="C21" s="8"/>
      <c r="D21" s="8"/>
      <c r="E21" s="8"/>
      <c r="F21" s="7"/>
      <c r="G21" s="37" t="s">
        <v>4317</v>
      </c>
      <c r="H21" s="5" t="str">
        <f t="shared" si="0"/>
        <v/>
      </c>
      <c r="I21" s="37" t="s">
        <v>4428</v>
      </c>
      <c r="J21" s="5" t="str">
        <f t="shared" si="1"/>
        <v/>
      </c>
      <c r="K21" s="37" t="s">
        <v>4567</v>
      </c>
      <c r="L21" s="5" t="str">
        <f t="shared" si="2"/>
        <v/>
      </c>
      <c r="M21" s="37" t="s">
        <v>4676</v>
      </c>
      <c r="N21" s="5" t="str">
        <f t="shared" si="3"/>
        <v/>
      </c>
      <c r="O21" s="37" t="s">
        <v>4785</v>
      </c>
      <c r="P21" s="5" t="str">
        <f t="shared" si="4"/>
        <v/>
      </c>
      <c r="Q21" s="37" t="s">
        <v>4924</v>
      </c>
      <c r="R21" s="5" t="str">
        <f t="shared" si="5"/>
        <v/>
      </c>
      <c r="S21" s="37" t="s">
        <v>5033</v>
      </c>
      <c r="T21" s="5" t="str">
        <f t="shared" si="6"/>
        <v/>
      </c>
      <c r="U21" s="37" t="s">
        <v>5134</v>
      </c>
      <c r="V21" s="5" t="str">
        <f t="shared" si="7"/>
        <v>scandal</v>
      </c>
      <c r="W21" s="37" t="s">
        <v>5281</v>
      </c>
      <c r="X21" s="5" t="str">
        <f t="shared" si="8"/>
        <v/>
      </c>
      <c r="Z21" t="str">
        <f t="shared" si="18"/>
        <v>N</v>
      </c>
      <c r="AA21" t="s">
        <v>199</v>
      </c>
      <c r="AB21" t="str">
        <f t="shared" si="9"/>
        <v>Y</v>
      </c>
      <c r="AC21" t="s">
        <v>200</v>
      </c>
      <c r="AD21" t="str">
        <f t="shared" si="10"/>
        <v>Y</v>
      </c>
      <c r="AE21" t="s">
        <v>201</v>
      </c>
      <c r="AF21" t="str">
        <f t="shared" si="11"/>
        <v>Y</v>
      </c>
      <c r="AG21" t="s">
        <v>202</v>
      </c>
      <c r="AH21" t="str">
        <f t="shared" si="12"/>
        <v>Y</v>
      </c>
      <c r="AI21" t="s">
        <v>203</v>
      </c>
      <c r="AJ21" t="str">
        <f t="shared" si="13"/>
        <v>Y</v>
      </c>
      <c r="AK21" t="s">
        <v>204</v>
      </c>
      <c r="AL21" t="str">
        <f t="shared" si="14"/>
        <v>Y</v>
      </c>
      <c r="AM21" t="s">
        <v>205</v>
      </c>
      <c r="AN21" t="str">
        <f t="shared" si="15"/>
        <v>N</v>
      </c>
      <c r="AO21" t="s">
        <v>206</v>
      </c>
      <c r="AP21" t="str">
        <f t="shared" si="16"/>
        <v>Y</v>
      </c>
      <c r="AQ21" t="s">
        <v>207</v>
      </c>
    </row>
    <row r="22" spans="1:43" x14ac:dyDescent="0.4">
      <c r="A22" s="8"/>
      <c r="B22" s="8"/>
      <c r="C22" s="8"/>
      <c r="D22" s="8"/>
      <c r="E22" s="8"/>
      <c r="F22" s="7"/>
      <c r="G22" s="37" t="s">
        <v>4318</v>
      </c>
      <c r="H22" s="5" t="str">
        <f t="shared" si="0"/>
        <v/>
      </c>
      <c r="I22" s="37" t="s">
        <v>4429</v>
      </c>
      <c r="J22" s="5" t="str">
        <f t="shared" si="1"/>
        <v/>
      </c>
      <c r="K22" s="37" t="s">
        <v>4568</v>
      </c>
      <c r="L22" s="5" t="str">
        <f t="shared" si="2"/>
        <v>desk</v>
      </c>
      <c r="M22" s="37" t="s">
        <v>4677</v>
      </c>
      <c r="N22" s="5" t="str">
        <f t="shared" si="3"/>
        <v/>
      </c>
      <c r="O22" s="37" t="s">
        <v>4786</v>
      </c>
      <c r="P22" s="5" t="str">
        <f t="shared" si="4"/>
        <v/>
      </c>
      <c r="Q22" s="37" t="s">
        <v>4925</v>
      </c>
      <c r="R22" s="5" t="str">
        <f t="shared" si="5"/>
        <v/>
      </c>
      <c r="S22" s="37" t="s">
        <v>5034</v>
      </c>
      <c r="T22" s="5" t="str">
        <f t="shared" si="6"/>
        <v/>
      </c>
      <c r="U22" s="37" t="s">
        <v>5135</v>
      </c>
      <c r="V22" s="5" t="str">
        <f t="shared" si="7"/>
        <v>scandals</v>
      </c>
      <c r="W22" s="37" t="s">
        <v>5282</v>
      </c>
      <c r="X22" s="5" t="str">
        <f t="shared" si="8"/>
        <v>therapist</v>
      </c>
      <c r="Z22" t="str">
        <f t="shared" si="18"/>
        <v>N</v>
      </c>
      <c r="AA22" t="s">
        <v>208</v>
      </c>
      <c r="AB22" t="str">
        <f t="shared" si="9"/>
        <v>Y</v>
      </c>
      <c r="AC22" t="s">
        <v>209</v>
      </c>
      <c r="AD22" t="str">
        <f t="shared" si="10"/>
        <v>N</v>
      </c>
      <c r="AE22" t="s">
        <v>210</v>
      </c>
      <c r="AF22" t="str">
        <f t="shared" si="11"/>
        <v>Y</v>
      </c>
      <c r="AG22" t="s">
        <v>211</v>
      </c>
      <c r="AH22" t="str">
        <f t="shared" si="12"/>
        <v>Y</v>
      </c>
      <c r="AI22" t="s">
        <v>212</v>
      </c>
      <c r="AJ22" t="str">
        <f t="shared" si="13"/>
        <v>Y</v>
      </c>
      <c r="AK22" t="s">
        <v>213</v>
      </c>
      <c r="AL22" t="str">
        <f t="shared" si="14"/>
        <v>Y</v>
      </c>
      <c r="AM22" t="s">
        <v>214</v>
      </c>
      <c r="AN22" t="str">
        <f t="shared" si="15"/>
        <v>N</v>
      </c>
      <c r="AO22" t="s">
        <v>215</v>
      </c>
      <c r="AP22" t="str">
        <f t="shared" si="16"/>
        <v>N</v>
      </c>
      <c r="AQ22" t="s">
        <v>216</v>
      </c>
    </row>
    <row r="23" spans="1:43" x14ac:dyDescent="0.4">
      <c r="A23" s="8"/>
      <c r="B23" s="8"/>
      <c r="C23" s="8"/>
      <c r="D23" s="8"/>
      <c r="E23" s="8"/>
      <c r="F23" s="7"/>
      <c r="G23" s="37" t="s">
        <v>4319</v>
      </c>
      <c r="H23" s="5" t="str">
        <f t="shared" si="0"/>
        <v/>
      </c>
      <c r="I23" s="37" t="s">
        <v>4430</v>
      </c>
      <c r="J23" s="5" t="str">
        <f t="shared" si="1"/>
        <v/>
      </c>
      <c r="K23" s="37" t="s">
        <v>4569</v>
      </c>
      <c r="L23" s="5" t="str">
        <f t="shared" si="2"/>
        <v>destination</v>
      </c>
      <c r="M23" s="37" t="s">
        <v>4678</v>
      </c>
      <c r="N23" s="5" t="str">
        <f t="shared" si="3"/>
        <v/>
      </c>
      <c r="O23" s="37" t="s">
        <v>4787</v>
      </c>
      <c r="P23" s="5" t="str">
        <f t="shared" si="4"/>
        <v/>
      </c>
      <c r="Q23" s="37" t="s">
        <v>4926</v>
      </c>
      <c r="R23" s="5" t="str">
        <f t="shared" si="5"/>
        <v/>
      </c>
      <c r="S23" s="37" t="s">
        <v>5035</v>
      </c>
      <c r="T23" s="5" t="str">
        <f t="shared" si="6"/>
        <v/>
      </c>
      <c r="U23" s="37" t="s">
        <v>5136</v>
      </c>
      <c r="V23" s="5" t="str">
        <f t="shared" si="7"/>
        <v/>
      </c>
      <c r="W23" s="37" t="s">
        <v>5283</v>
      </c>
      <c r="X23" s="5" t="str">
        <f t="shared" si="8"/>
        <v/>
      </c>
      <c r="Z23" t="str">
        <f t="shared" si="18"/>
        <v>N</v>
      </c>
      <c r="AA23" t="s">
        <v>217</v>
      </c>
      <c r="AB23" t="str">
        <f t="shared" si="9"/>
        <v>Y</v>
      </c>
      <c r="AC23" t="s">
        <v>218</v>
      </c>
      <c r="AD23" t="str">
        <f t="shared" si="10"/>
        <v>N</v>
      </c>
      <c r="AE23" t="s">
        <v>219</v>
      </c>
      <c r="AF23" t="str">
        <f t="shared" si="11"/>
        <v>Y</v>
      </c>
      <c r="AG23" t="s">
        <v>220</v>
      </c>
      <c r="AH23" t="str">
        <f t="shared" si="12"/>
        <v>Y</v>
      </c>
      <c r="AI23" t="s">
        <v>221</v>
      </c>
      <c r="AJ23" t="str">
        <f t="shared" si="13"/>
        <v>Y</v>
      </c>
      <c r="AK23" t="s">
        <v>222</v>
      </c>
      <c r="AL23" t="str">
        <f t="shared" si="14"/>
        <v>Y</v>
      </c>
      <c r="AM23" t="s">
        <v>223</v>
      </c>
      <c r="AN23" t="str">
        <f t="shared" si="15"/>
        <v>Y</v>
      </c>
      <c r="AO23" t="s">
        <v>224</v>
      </c>
      <c r="AP23" t="str">
        <f t="shared" si="16"/>
        <v>Y</v>
      </c>
      <c r="AQ23" t="s">
        <v>225</v>
      </c>
    </row>
    <row r="24" spans="1:43" x14ac:dyDescent="0.4">
      <c r="A24" s="7"/>
      <c r="B24" s="7"/>
      <c r="C24" s="7"/>
      <c r="D24" s="7"/>
      <c r="E24" s="7"/>
      <c r="F24" s="7"/>
      <c r="G24" s="37" t="s">
        <v>4320</v>
      </c>
      <c r="H24" s="5" t="str">
        <f t="shared" si="0"/>
        <v/>
      </c>
      <c r="I24" s="37" t="s">
        <v>4431</v>
      </c>
      <c r="J24" s="5" t="str">
        <f t="shared" si="1"/>
        <v/>
      </c>
      <c r="K24" s="37" t="s">
        <v>4570</v>
      </c>
      <c r="L24" s="5" t="str">
        <f t="shared" si="2"/>
        <v/>
      </c>
      <c r="M24" s="37" t="s">
        <v>4679</v>
      </c>
      <c r="N24" s="5" t="str">
        <f t="shared" si="3"/>
        <v/>
      </c>
      <c r="O24" s="37" t="s">
        <v>4788</v>
      </c>
      <c r="P24" s="5" t="str">
        <f t="shared" si="4"/>
        <v>insomnia</v>
      </c>
      <c r="Q24" s="37" t="s">
        <v>4927</v>
      </c>
      <c r="R24" s="5" t="str">
        <f t="shared" si="5"/>
        <v/>
      </c>
      <c r="S24" s="37" t="s">
        <v>5036</v>
      </c>
      <c r="T24" s="5" t="str">
        <f t="shared" si="6"/>
        <v/>
      </c>
      <c r="U24" s="37" t="s">
        <v>5137</v>
      </c>
      <c r="V24" s="5" t="str">
        <f t="shared" si="7"/>
        <v/>
      </c>
      <c r="W24" s="37" t="s">
        <v>4404</v>
      </c>
      <c r="X24" s="5" t="str">
        <f t="shared" si="8"/>
        <v>thesis</v>
      </c>
      <c r="Z24" t="str">
        <f t="shared" si="18"/>
        <v>N</v>
      </c>
      <c r="AA24" t="s">
        <v>226</v>
      </c>
      <c r="AB24" t="str">
        <f t="shared" si="9"/>
        <v>Y</v>
      </c>
      <c r="AC24" t="s">
        <v>227</v>
      </c>
      <c r="AD24" t="str">
        <f t="shared" si="10"/>
        <v>Y</v>
      </c>
      <c r="AE24" t="s">
        <v>228</v>
      </c>
      <c r="AF24" t="str">
        <f t="shared" si="11"/>
        <v>Y</v>
      </c>
      <c r="AG24" t="s">
        <v>229</v>
      </c>
      <c r="AH24" t="str">
        <f t="shared" si="12"/>
        <v>N</v>
      </c>
      <c r="AI24" t="s">
        <v>230</v>
      </c>
      <c r="AJ24" t="str">
        <f t="shared" si="13"/>
        <v>Y</v>
      </c>
      <c r="AK24" t="s">
        <v>231</v>
      </c>
      <c r="AL24" t="str">
        <f t="shared" si="14"/>
        <v>Y</v>
      </c>
      <c r="AM24" t="s">
        <v>232</v>
      </c>
      <c r="AN24" t="str">
        <f t="shared" si="15"/>
        <v>Y</v>
      </c>
      <c r="AO24" t="s">
        <v>233</v>
      </c>
      <c r="AP24" t="str">
        <f t="shared" si="16"/>
        <v>N</v>
      </c>
      <c r="AQ24" t="s">
        <v>234</v>
      </c>
    </row>
    <row r="25" spans="1:43" x14ac:dyDescent="0.4">
      <c r="A25" s="7"/>
      <c r="B25" s="7"/>
      <c r="C25" s="7"/>
      <c r="D25" s="7"/>
      <c r="F25" s="7"/>
      <c r="G25" s="37" t="s">
        <v>4321</v>
      </c>
      <c r="H25" s="5" t="str">
        <f t="shared" si="0"/>
        <v/>
      </c>
      <c r="I25" s="37" t="s">
        <v>4432</v>
      </c>
      <c r="J25" s="5" t="str">
        <f t="shared" si="1"/>
        <v/>
      </c>
      <c r="K25" s="37" t="s">
        <v>4571</v>
      </c>
      <c r="L25" s="5" t="str">
        <f t="shared" si="2"/>
        <v/>
      </c>
      <c r="M25" s="37" t="s">
        <v>4680</v>
      </c>
      <c r="N25" s="5" t="str">
        <f t="shared" si="3"/>
        <v/>
      </c>
      <c r="O25" s="37" t="s">
        <v>4789</v>
      </c>
      <c r="P25" s="5" t="str">
        <f t="shared" si="4"/>
        <v>institute</v>
      </c>
      <c r="Q25" s="37" t="s">
        <v>4928</v>
      </c>
      <c r="R25" s="5" t="str">
        <f t="shared" si="5"/>
        <v/>
      </c>
      <c r="S25" s="37" t="s">
        <v>5037</v>
      </c>
      <c r="T25" s="5" t="str">
        <f t="shared" si="6"/>
        <v/>
      </c>
      <c r="U25" s="37" t="s">
        <v>5138</v>
      </c>
      <c r="V25" s="5" t="str">
        <f t="shared" si="7"/>
        <v/>
      </c>
      <c r="W25" s="37" t="s">
        <v>5284</v>
      </c>
      <c r="X25" s="5" t="str">
        <f t="shared" si="8"/>
        <v/>
      </c>
      <c r="Z25" t="str">
        <f t="shared" si="18"/>
        <v>N</v>
      </c>
      <c r="AA25" t="s">
        <v>235</v>
      </c>
      <c r="AB25" t="str">
        <f t="shared" si="9"/>
        <v>Y</v>
      </c>
      <c r="AC25" t="s">
        <v>236</v>
      </c>
      <c r="AD25" t="str">
        <f t="shared" si="10"/>
        <v>Y</v>
      </c>
      <c r="AE25" t="s">
        <v>237</v>
      </c>
      <c r="AF25" t="str">
        <f t="shared" si="11"/>
        <v>Y</v>
      </c>
      <c r="AG25" t="s">
        <v>238</v>
      </c>
      <c r="AH25" t="str">
        <f t="shared" si="12"/>
        <v>N</v>
      </c>
      <c r="AI25" t="s">
        <v>239</v>
      </c>
      <c r="AJ25" t="str">
        <f t="shared" si="13"/>
        <v>Y</v>
      </c>
      <c r="AK25" t="s">
        <v>240</v>
      </c>
      <c r="AL25" t="str">
        <f t="shared" si="14"/>
        <v>Y</v>
      </c>
      <c r="AM25" t="s">
        <v>241</v>
      </c>
      <c r="AN25" t="str">
        <f t="shared" si="15"/>
        <v>Y</v>
      </c>
      <c r="AO25" t="s">
        <v>242</v>
      </c>
      <c r="AP25" t="str">
        <f t="shared" si="16"/>
        <v>Y</v>
      </c>
      <c r="AQ25" t="s">
        <v>243</v>
      </c>
    </row>
    <row r="26" spans="1:43" x14ac:dyDescent="0.4">
      <c r="A26" s="52" t="s">
        <v>244</v>
      </c>
      <c r="B26" s="53"/>
      <c r="C26" s="53"/>
      <c r="D26" s="53"/>
      <c r="E26" s="7"/>
      <c r="F26" s="7"/>
      <c r="G26" s="37" t="s">
        <v>4322</v>
      </c>
      <c r="H26" s="5" t="str">
        <f t="shared" si="0"/>
        <v>alteration</v>
      </c>
      <c r="I26" s="37" t="s">
        <v>4433</v>
      </c>
      <c r="J26" s="5" t="str">
        <f t="shared" si="1"/>
        <v>cathedral</v>
      </c>
      <c r="K26" s="37" t="s">
        <v>4572</v>
      </c>
      <c r="L26" s="5" t="str">
        <f t="shared" si="2"/>
        <v>dictation</v>
      </c>
      <c r="M26" s="37" t="s">
        <v>4681</v>
      </c>
      <c r="N26" s="5" t="str">
        <f t="shared" si="3"/>
        <v>firms</v>
      </c>
      <c r="O26" s="37" t="s">
        <v>4790</v>
      </c>
      <c r="P26" s="5" t="str">
        <f t="shared" si="4"/>
        <v/>
      </c>
      <c r="Q26" s="37" t="s">
        <v>4929</v>
      </c>
      <c r="R26" s="5" t="str">
        <f t="shared" si="5"/>
        <v>nursery</v>
      </c>
      <c r="S26" s="37" t="s">
        <v>5038</v>
      </c>
      <c r="T26" s="5" t="str">
        <f t="shared" si="6"/>
        <v/>
      </c>
      <c r="U26" s="37" t="s">
        <v>5139</v>
      </c>
      <c r="V26" s="5" t="str">
        <f t="shared" si="7"/>
        <v>scheme</v>
      </c>
      <c r="W26" s="37" t="s">
        <v>5285</v>
      </c>
      <c r="X26" s="5" t="str">
        <f t="shared" si="8"/>
        <v>thieves</v>
      </c>
      <c r="Z26" t="str">
        <f t="shared" si="18"/>
        <v>N</v>
      </c>
      <c r="AA26" t="s">
        <v>245</v>
      </c>
      <c r="AB26" t="str">
        <f t="shared" si="9"/>
        <v>N</v>
      </c>
      <c r="AC26" t="s">
        <v>246</v>
      </c>
      <c r="AD26" t="str">
        <f t="shared" si="10"/>
        <v>N</v>
      </c>
      <c r="AE26" t="s">
        <v>247</v>
      </c>
      <c r="AF26" t="str">
        <f t="shared" si="11"/>
        <v>N</v>
      </c>
      <c r="AG26" t="s">
        <v>248</v>
      </c>
      <c r="AH26" t="str">
        <f t="shared" si="12"/>
        <v>Y</v>
      </c>
      <c r="AI26" t="s">
        <v>249</v>
      </c>
      <c r="AJ26" t="str">
        <f t="shared" si="13"/>
        <v>N</v>
      </c>
      <c r="AK26" t="s">
        <v>250</v>
      </c>
      <c r="AL26" t="str">
        <f t="shared" si="14"/>
        <v>Y</v>
      </c>
      <c r="AM26" t="s">
        <v>251</v>
      </c>
      <c r="AN26" t="str">
        <f t="shared" si="15"/>
        <v>N</v>
      </c>
      <c r="AO26" t="s">
        <v>252</v>
      </c>
      <c r="AP26" t="str">
        <f t="shared" si="16"/>
        <v>N</v>
      </c>
      <c r="AQ26" t="s">
        <v>253</v>
      </c>
    </row>
    <row r="27" spans="1:43" x14ac:dyDescent="0.4">
      <c r="A27" s="53"/>
      <c r="B27" s="53"/>
      <c r="C27" s="53"/>
      <c r="D27" s="53"/>
      <c r="E27" s="7"/>
      <c r="F27" s="7"/>
      <c r="G27" s="37" t="s">
        <v>4323</v>
      </c>
      <c r="H27" s="5" t="str">
        <f t="shared" si="0"/>
        <v/>
      </c>
      <c r="I27" s="37" t="s">
        <v>4434</v>
      </c>
      <c r="J27" s="5" t="str">
        <f t="shared" si="1"/>
        <v/>
      </c>
      <c r="K27" s="37" t="s">
        <v>4573</v>
      </c>
      <c r="L27" s="5" t="str">
        <f t="shared" si="2"/>
        <v/>
      </c>
      <c r="M27" s="37" t="s">
        <v>4682</v>
      </c>
      <c r="N27" s="5" t="str">
        <f t="shared" si="3"/>
        <v/>
      </c>
      <c r="O27" s="37" t="s">
        <v>4791</v>
      </c>
      <c r="P27" s="5" t="str">
        <f t="shared" si="4"/>
        <v/>
      </c>
      <c r="Q27" s="37" t="s">
        <v>4930</v>
      </c>
      <c r="R27" s="5" t="str">
        <f t="shared" si="5"/>
        <v>nursing</v>
      </c>
      <c r="S27" s="37" t="s">
        <v>5039</v>
      </c>
      <c r="T27" s="5" t="str">
        <f t="shared" si="6"/>
        <v/>
      </c>
      <c r="U27" s="37" t="s">
        <v>5140</v>
      </c>
      <c r="V27" s="5" t="str">
        <f t="shared" si="7"/>
        <v/>
      </c>
      <c r="W27" s="37" t="s">
        <v>5286</v>
      </c>
      <c r="X27" s="5" t="str">
        <f t="shared" si="8"/>
        <v/>
      </c>
      <c r="Z27" t="str">
        <f t="shared" si="18"/>
        <v>N</v>
      </c>
      <c r="AA27" t="s">
        <v>254</v>
      </c>
      <c r="AB27" t="str">
        <f t="shared" si="9"/>
        <v>Y</v>
      </c>
      <c r="AC27" t="s">
        <v>255</v>
      </c>
      <c r="AD27" t="str">
        <f t="shared" si="10"/>
        <v>Y</v>
      </c>
      <c r="AE27" t="s">
        <v>256</v>
      </c>
      <c r="AF27" t="str">
        <f t="shared" si="11"/>
        <v>Y</v>
      </c>
      <c r="AG27" t="s">
        <v>257</v>
      </c>
      <c r="AH27" t="str">
        <f t="shared" si="12"/>
        <v>Y</v>
      </c>
      <c r="AI27" t="s">
        <v>258</v>
      </c>
      <c r="AJ27" t="str">
        <f t="shared" si="13"/>
        <v>N</v>
      </c>
      <c r="AK27" t="s">
        <v>259</v>
      </c>
      <c r="AL27" t="str">
        <f t="shared" si="14"/>
        <v>Y</v>
      </c>
      <c r="AM27" t="s">
        <v>260</v>
      </c>
      <c r="AN27" t="str">
        <f t="shared" si="15"/>
        <v>Y</v>
      </c>
      <c r="AO27" t="s">
        <v>261</v>
      </c>
      <c r="AP27" t="str">
        <f t="shared" si="16"/>
        <v>Y</v>
      </c>
      <c r="AQ27" t="s">
        <v>262</v>
      </c>
    </row>
    <row r="28" spans="1:43" x14ac:dyDescent="0.4">
      <c r="A28" s="53"/>
      <c r="B28" s="53"/>
      <c r="C28" s="53"/>
      <c r="D28" s="53"/>
      <c r="E28" s="7"/>
      <c r="F28" s="7"/>
      <c r="G28" s="37" t="s">
        <v>4324</v>
      </c>
      <c r="H28" s="5" t="str">
        <f t="shared" si="0"/>
        <v/>
      </c>
      <c r="I28" s="37" t="s">
        <v>4435</v>
      </c>
      <c r="J28" s="5" t="str">
        <f t="shared" si="1"/>
        <v/>
      </c>
      <c r="K28" s="37" t="s">
        <v>4574</v>
      </c>
      <c r="L28" s="5" t="str">
        <f t="shared" si="2"/>
        <v/>
      </c>
      <c r="M28" s="37" t="s">
        <v>4683</v>
      </c>
      <c r="N28" s="5" t="str">
        <f t="shared" si="3"/>
        <v/>
      </c>
      <c r="O28" s="37" t="s">
        <v>4792</v>
      </c>
      <c r="P28" s="5" t="str">
        <f t="shared" si="4"/>
        <v/>
      </c>
      <c r="Q28" s="37" t="s">
        <v>4919</v>
      </c>
      <c r="R28" s="5" t="str">
        <f t="shared" si="5"/>
        <v>nut</v>
      </c>
      <c r="S28" s="37" t="s">
        <v>5040</v>
      </c>
      <c r="T28" s="5" t="str">
        <f t="shared" si="6"/>
        <v>prospectus</v>
      </c>
      <c r="U28" s="37" t="s">
        <v>5141</v>
      </c>
      <c r="V28" s="5" t="str">
        <f t="shared" si="7"/>
        <v/>
      </c>
      <c r="W28" s="37" t="s">
        <v>5287</v>
      </c>
      <c r="X28" s="5" t="str">
        <f t="shared" si="8"/>
        <v/>
      </c>
      <c r="Z28" t="str">
        <f t="shared" si="18"/>
        <v>N</v>
      </c>
      <c r="AA28" t="s">
        <v>263</v>
      </c>
      <c r="AB28" t="str">
        <f t="shared" si="9"/>
        <v>Y</v>
      </c>
      <c r="AC28" t="s">
        <v>264</v>
      </c>
      <c r="AD28" t="str">
        <f t="shared" si="10"/>
        <v>Y</v>
      </c>
      <c r="AE28" t="s">
        <v>265</v>
      </c>
      <c r="AF28" t="str">
        <f t="shared" si="11"/>
        <v>Y</v>
      </c>
      <c r="AG28" t="s">
        <v>266</v>
      </c>
      <c r="AH28" t="str">
        <f t="shared" si="12"/>
        <v>Y</v>
      </c>
      <c r="AI28" t="s">
        <v>267</v>
      </c>
      <c r="AJ28" t="str">
        <f t="shared" si="13"/>
        <v>N</v>
      </c>
      <c r="AK28" t="s">
        <v>268</v>
      </c>
      <c r="AL28" t="str">
        <f t="shared" si="14"/>
        <v>N</v>
      </c>
      <c r="AM28" t="s">
        <v>269</v>
      </c>
      <c r="AN28" t="str">
        <f t="shared" si="15"/>
        <v>Y</v>
      </c>
      <c r="AO28" t="s">
        <v>270</v>
      </c>
      <c r="AP28" t="str">
        <f t="shared" si="16"/>
        <v>Y</v>
      </c>
      <c r="AQ28" t="s">
        <v>271</v>
      </c>
    </row>
    <row r="29" spans="1:43" x14ac:dyDescent="0.4">
      <c r="A29" s="54"/>
      <c r="B29" s="53"/>
      <c r="C29" s="54"/>
      <c r="D29" s="54"/>
      <c r="E29" s="7"/>
      <c r="F29" s="7"/>
      <c r="G29" s="37" t="s">
        <v>4325</v>
      </c>
      <c r="H29" s="5" t="str">
        <f t="shared" si="0"/>
        <v/>
      </c>
      <c r="I29" s="37" t="s">
        <v>4436</v>
      </c>
      <c r="J29" s="5" t="str">
        <f t="shared" si="1"/>
        <v>cents</v>
      </c>
      <c r="K29" s="37" t="s">
        <v>4575</v>
      </c>
      <c r="L29" s="5" t="str">
        <f t="shared" si="2"/>
        <v/>
      </c>
      <c r="M29" s="37" t="s">
        <v>4684</v>
      </c>
      <c r="N29" s="5" t="str">
        <f t="shared" si="3"/>
        <v/>
      </c>
      <c r="O29" s="37" t="s">
        <v>4793</v>
      </c>
      <c r="P29" s="5" t="str">
        <f t="shared" si="4"/>
        <v/>
      </c>
      <c r="Q29" s="37" t="s">
        <v>4931</v>
      </c>
      <c r="R29" s="5" t="str">
        <f t="shared" si="5"/>
        <v/>
      </c>
      <c r="S29" s="37" t="s">
        <v>5041</v>
      </c>
      <c r="T29" s="5" t="str">
        <f t="shared" si="6"/>
        <v/>
      </c>
      <c r="U29" s="37" t="s">
        <v>5142</v>
      </c>
      <c r="V29" s="5" t="str">
        <f t="shared" si="7"/>
        <v/>
      </c>
      <c r="W29" s="37" t="s">
        <v>5288</v>
      </c>
      <c r="X29" s="5" t="str">
        <f t="shared" si="8"/>
        <v/>
      </c>
      <c r="Z29" t="str">
        <f t="shared" si="18"/>
        <v>N</v>
      </c>
      <c r="AA29" t="s">
        <v>272</v>
      </c>
      <c r="AB29" t="str">
        <f t="shared" si="9"/>
        <v>N</v>
      </c>
      <c r="AC29" t="s">
        <v>273</v>
      </c>
      <c r="AD29" t="str">
        <f t="shared" si="10"/>
        <v>Y</v>
      </c>
      <c r="AE29" t="s">
        <v>274</v>
      </c>
      <c r="AF29" t="str">
        <f t="shared" si="11"/>
        <v>Y</v>
      </c>
      <c r="AG29" t="s">
        <v>275</v>
      </c>
      <c r="AH29" t="str">
        <f t="shared" si="12"/>
        <v>Y</v>
      </c>
      <c r="AI29" t="s">
        <v>276</v>
      </c>
      <c r="AJ29" t="str">
        <f t="shared" si="13"/>
        <v>Y</v>
      </c>
      <c r="AK29" t="s">
        <v>277</v>
      </c>
      <c r="AL29" t="str">
        <f t="shared" si="14"/>
        <v>Y</v>
      </c>
      <c r="AM29" t="s">
        <v>278</v>
      </c>
      <c r="AN29" t="str">
        <f t="shared" si="15"/>
        <v>Y</v>
      </c>
      <c r="AO29" t="s">
        <v>279</v>
      </c>
      <c r="AP29" t="str">
        <f t="shared" si="16"/>
        <v>Y</v>
      </c>
      <c r="AQ29" t="s">
        <v>280</v>
      </c>
    </row>
    <row r="30" spans="1:43" x14ac:dyDescent="0.4">
      <c r="A30" s="53"/>
      <c r="B30" s="53"/>
      <c r="C30" s="53"/>
      <c r="D30" s="53"/>
      <c r="E30" s="7"/>
      <c r="F30" s="7"/>
      <c r="G30" s="37" t="s">
        <v>4326</v>
      </c>
      <c r="H30" s="5" t="str">
        <f t="shared" si="0"/>
        <v/>
      </c>
      <c r="I30" s="37" t="s">
        <v>4437</v>
      </c>
      <c r="J30" s="5" t="str">
        <f t="shared" si="1"/>
        <v>century</v>
      </c>
      <c r="K30" s="37" t="s">
        <v>4576</v>
      </c>
      <c r="L30" s="5" t="str">
        <f t="shared" si="2"/>
        <v/>
      </c>
      <c r="M30" s="37" t="s">
        <v>4685</v>
      </c>
      <c r="N30" s="5" t="str">
        <f t="shared" si="3"/>
        <v/>
      </c>
      <c r="O30" s="37" t="s">
        <v>4794</v>
      </c>
      <c r="P30" s="5" t="str">
        <f t="shared" si="4"/>
        <v/>
      </c>
      <c r="Q30" s="37" t="s">
        <v>4932</v>
      </c>
      <c r="R30" s="5" t="str">
        <f t="shared" si="5"/>
        <v/>
      </c>
      <c r="S30" s="37" t="s">
        <v>4404</v>
      </c>
      <c r="T30" s="5" t="str">
        <f t="shared" si="6"/>
        <v>psychiatrist</v>
      </c>
      <c r="U30" s="37" t="s">
        <v>5143</v>
      </c>
      <c r="V30" s="5" t="str">
        <f t="shared" si="7"/>
        <v>scientist</v>
      </c>
      <c r="W30" s="37" t="s">
        <v>5289</v>
      </c>
      <c r="X30" s="5" t="str">
        <f t="shared" si="8"/>
        <v/>
      </c>
      <c r="Z30" t="str">
        <f t="shared" si="18"/>
        <v>N</v>
      </c>
      <c r="AA30" t="s">
        <v>281</v>
      </c>
      <c r="AB30" t="str">
        <f t="shared" si="9"/>
        <v>N</v>
      </c>
      <c r="AC30" t="s">
        <v>282</v>
      </c>
      <c r="AD30" t="str">
        <f t="shared" si="10"/>
        <v>Y</v>
      </c>
      <c r="AE30" t="s">
        <v>283</v>
      </c>
      <c r="AF30" t="str">
        <f t="shared" si="11"/>
        <v>Y</v>
      </c>
      <c r="AG30" t="s">
        <v>284</v>
      </c>
      <c r="AH30" t="str">
        <f t="shared" si="12"/>
        <v>Y</v>
      </c>
      <c r="AI30" t="s">
        <v>285</v>
      </c>
      <c r="AJ30" t="str">
        <f t="shared" si="13"/>
        <v>Y</v>
      </c>
      <c r="AK30" t="s">
        <v>286</v>
      </c>
      <c r="AL30" t="str">
        <f t="shared" si="14"/>
        <v>N</v>
      </c>
      <c r="AM30" t="s">
        <v>287</v>
      </c>
      <c r="AN30" t="str">
        <f t="shared" si="15"/>
        <v>N</v>
      </c>
      <c r="AO30" t="s">
        <v>288</v>
      </c>
      <c r="AP30" t="str">
        <f t="shared" si="16"/>
        <v>Y</v>
      </c>
      <c r="AQ30" t="s">
        <v>289</v>
      </c>
    </row>
    <row r="31" spans="1:43" x14ac:dyDescent="0.4">
      <c r="A31" s="53"/>
      <c r="B31" s="53"/>
      <c r="C31" s="53"/>
      <c r="D31" s="53"/>
      <c r="E31" s="7"/>
      <c r="F31" s="7"/>
      <c r="G31" s="37" t="s">
        <v>4327</v>
      </c>
      <c r="H31" s="5" t="str">
        <f t="shared" si="0"/>
        <v/>
      </c>
      <c r="I31" s="37" t="s">
        <v>4438</v>
      </c>
      <c r="J31" s="5" t="str">
        <f t="shared" si="1"/>
        <v/>
      </c>
      <c r="K31" s="37" t="s">
        <v>4577</v>
      </c>
      <c r="L31" s="5" t="str">
        <f t="shared" si="2"/>
        <v>direction</v>
      </c>
      <c r="M31" s="37" t="s">
        <v>4686</v>
      </c>
      <c r="N31" s="5" t="str">
        <f t="shared" si="3"/>
        <v/>
      </c>
      <c r="O31" s="37" t="s">
        <v>4795</v>
      </c>
      <c r="P31" s="5" t="str">
        <f t="shared" si="4"/>
        <v/>
      </c>
      <c r="Q31" s="37" t="s">
        <v>4933</v>
      </c>
      <c r="R31" s="5" t="str">
        <f t="shared" si="5"/>
        <v>occasion</v>
      </c>
      <c r="S31" s="37" t="s">
        <v>5042</v>
      </c>
      <c r="T31" s="5" t="str">
        <f t="shared" si="6"/>
        <v>psychologist</v>
      </c>
      <c r="U31" s="37" t="s">
        <v>5144</v>
      </c>
      <c r="V31" s="5" t="str">
        <f t="shared" si="7"/>
        <v>score</v>
      </c>
      <c r="W31" s="37" t="s">
        <v>5290</v>
      </c>
      <c r="X31" s="5" t="str">
        <f t="shared" si="8"/>
        <v>thriller</v>
      </c>
      <c r="Z31" t="str">
        <f t="shared" si="18"/>
        <v>N</v>
      </c>
      <c r="AA31" t="s">
        <v>290</v>
      </c>
      <c r="AB31" t="str">
        <f t="shared" si="9"/>
        <v>Y</v>
      </c>
      <c r="AC31" t="s">
        <v>291</v>
      </c>
      <c r="AD31" t="str">
        <f t="shared" si="10"/>
        <v>N</v>
      </c>
      <c r="AE31" t="s">
        <v>292</v>
      </c>
      <c r="AF31" t="str">
        <f t="shared" si="11"/>
        <v>Y</v>
      </c>
      <c r="AG31" t="s">
        <v>293</v>
      </c>
      <c r="AH31" t="str">
        <f t="shared" si="12"/>
        <v>Y</v>
      </c>
      <c r="AI31" t="s">
        <v>294</v>
      </c>
      <c r="AJ31" t="str">
        <f t="shared" si="13"/>
        <v>N</v>
      </c>
      <c r="AK31" t="s">
        <v>295</v>
      </c>
      <c r="AL31" t="str">
        <f t="shared" si="14"/>
        <v>N</v>
      </c>
      <c r="AM31" t="s">
        <v>296</v>
      </c>
      <c r="AN31" t="str">
        <f t="shared" si="15"/>
        <v>N</v>
      </c>
      <c r="AO31" t="s">
        <v>297</v>
      </c>
      <c r="AP31" t="str">
        <f t="shared" si="16"/>
        <v>N</v>
      </c>
      <c r="AQ31" t="s">
        <v>298</v>
      </c>
    </row>
    <row r="32" spans="1:43" x14ac:dyDescent="0.4">
      <c r="A32" s="53"/>
      <c r="B32" s="53"/>
      <c r="C32" s="53"/>
      <c r="D32" s="53"/>
      <c r="E32" s="7"/>
      <c r="F32" s="7"/>
      <c r="G32" s="37" t="s">
        <v>4328</v>
      </c>
      <c r="H32" s="5" t="str">
        <f t="shared" si="0"/>
        <v>analyst</v>
      </c>
      <c r="I32" s="37" t="s">
        <v>4439</v>
      </c>
      <c r="J32" s="5" t="str">
        <f t="shared" si="1"/>
        <v/>
      </c>
      <c r="K32" s="37" t="s">
        <v>4578</v>
      </c>
      <c r="L32" s="5" t="str">
        <f t="shared" si="2"/>
        <v/>
      </c>
      <c r="M32" s="37" t="s">
        <v>4687</v>
      </c>
      <c r="N32" s="5" t="str">
        <f t="shared" si="3"/>
        <v/>
      </c>
      <c r="O32" s="37" t="s">
        <v>4796</v>
      </c>
      <c r="P32" s="5" t="str">
        <f t="shared" si="4"/>
        <v/>
      </c>
      <c r="Q32" s="37" t="s">
        <v>4934</v>
      </c>
      <c r="R32" s="5" t="str">
        <f t="shared" si="5"/>
        <v/>
      </c>
      <c r="S32" s="37" t="s">
        <v>4404</v>
      </c>
      <c r="T32" s="5" t="str">
        <f t="shared" si="6"/>
        <v>psychotherapy</v>
      </c>
      <c r="U32" s="37" t="s">
        <v>5145</v>
      </c>
      <c r="V32" s="5" t="str">
        <f t="shared" si="7"/>
        <v/>
      </c>
      <c r="W32" s="37" t="s">
        <v>5291</v>
      </c>
      <c r="X32" s="5" t="str">
        <f t="shared" si="8"/>
        <v/>
      </c>
      <c r="Z32" t="str">
        <f t="shared" si="18"/>
        <v>N</v>
      </c>
      <c r="AA32" t="s">
        <v>299</v>
      </c>
      <c r="AB32" t="str">
        <f t="shared" si="9"/>
        <v>Y</v>
      </c>
      <c r="AC32" t="s">
        <v>300</v>
      </c>
      <c r="AD32" t="str">
        <f t="shared" si="10"/>
        <v>Y</v>
      </c>
      <c r="AE32" t="s">
        <v>301</v>
      </c>
      <c r="AF32" t="str">
        <f t="shared" si="11"/>
        <v>Y</v>
      </c>
      <c r="AG32" t="s">
        <v>302</v>
      </c>
      <c r="AH32" t="str">
        <f t="shared" si="12"/>
        <v>Y</v>
      </c>
      <c r="AI32" t="s">
        <v>303</v>
      </c>
      <c r="AJ32" t="str">
        <f t="shared" si="13"/>
        <v>Y</v>
      </c>
      <c r="AK32" t="s">
        <v>304</v>
      </c>
      <c r="AL32" t="str">
        <f t="shared" si="14"/>
        <v>N</v>
      </c>
      <c r="AM32" t="s">
        <v>305</v>
      </c>
      <c r="AN32" t="str">
        <f t="shared" si="15"/>
        <v>Y</v>
      </c>
      <c r="AO32" t="s">
        <v>306</v>
      </c>
      <c r="AP32" t="str">
        <f t="shared" si="16"/>
        <v>Y</v>
      </c>
      <c r="AQ32" t="s">
        <v>307</v>
      </c>
    </row>
    <row r="33" spans="1:43" x14ac:dyDescent="0.4">
      <c r="A33" s="54"/>
      <c r="B33" s="53"/>
      <c r="C33" s="54"/>
      <c r="D33" s="54"/>
      <c r="E33" s="7"/>
      <c r="F33" s="7"/>
      <c r="G33" s="37" t="s">
        <v>4329</v>
      </c>
      <c r="H33" s="5" t="str">
        <f t="shared" si="0"/>
        <v/>
      </c>
      <c r="I33" s="37" t="s">
        <v>4440</v>
      </c>
      <c r="J33" s="5" t="str">
        <f t="shared" si="1"/>
        <v/>
      </c>
      <c r="K33" s="37" t="s">
        <v>4579</v>
      </c>
      <c r="L33" s="5" t="str">
        <f t="shared" si="2"/>
        <v/>
      </c>
      <c r="M33" s="37" t="s">
        <v>4688</v>
      </c>
      <c r="N33" s="5" t="str">
        <f t="shared" si="3"/>
        <v/>
      </c>
      <c r="O33" s="37" t="s">
        <v>4797</v>
      </c>
      <c r="P33" s="5" t="str">
        <f t="shared" si="4"/>
        <v/>
      </c>
      <c r="Q33" s="37" t="s">
        <v>4935</v>
      </c>
      <c r="R33" s="5" t="str">
        <f t="shared" si="5"/>
        <v/>
      </c>
      <c r="S33" s="37" t="s">
        <v>5043</v>
      </c>
      <c r="T33" s="5" t="str">
        <f t="shared" si="6"/>
        <v/>
      </c>
      <c r="U33" s="37" t="s">
        <v>5146</v>
      </c>
      <c r="V33" s="5" t="str">
        <f t="shared" si="7"/>
        <v/>
      </c>
      <c r="W33" s="37" t="s">
        <v>5292</v>
      </c>
      <c r="X33" s="5" t="str">
        <f t="shared" si="8"/>
        <v/>
      </c>
      <c r="Z33" t="str">
        <f t="shared" si="18"/>
        <v>N</v>
      </c>
      <c r="AA33" t="s">
        <v>308</v>
      </c>
      <c r="AB33" t="str">
        <f t="shared" si="9"/>
        <v>Y</v>
      </c>
      <c r="AC33" t="s">
        <v>309</v>
      </c>
      <c r="AD33" t="str">
        <f t="shared" si="10"/>
        <v>Y</v>
      </c>
      <c r="AE33" t="s">
        <v>310</v>
      </c>
      <c r="AF33" t="str">
        <f t="shared" si="11"/>
        <v>Y</v>
      </c>
      <c r="AG33" t="s">
        <v>311</v>
      </c>
      <c r="AH33" t="str">
        <f t="shared" si="12"/>
        <v>Y</v>
      </c>
      <c r="AI33" t="s">
        <v>312</v>
      </c>
      <c r="AJ33" t="str">
        <f t="shared" si="13"/>
        <v>Y</v>
      </c>
      <c r="AK33" t="s">
        <v>313</v>
      </c>
      <c r="AL33" t="str">
        <f t="shared" si="14"/>
        <v>Y</v>
      </c>
      <c r="AM33" t="s">
        <v>314</v>
      </c>
      <c r="AN33" t="str">
        <f t="shared" si="15"/>
        <v>Y</v>
      </c>
      <c r="AO33" t="s">
        <v>315</v>
      </c>
      <c r="AP33" t="str">
        <f t="shared" si="16"/>
        <v>Y</v>
      </c>
      <c r="AQ33" t="s">
        <v>316</v>
      </c>
    </row>
    <row r="34" spans="1:43" x14ac:dyDescent="0.4">
      <c r="A34" s="7"/>
      <c r="B34" s="7"/>
      <c r="C34" s="7"/>
      <c r="D34" s="7"/>
      <c r="E34" s="7"/>
      <c r="F34" s="7"/>
      <c r="G34" s="37" t="s">
        <v>4330</v>
      </c>
      <c r="H34" s="5" t="str">
        <f t="shared" si="0"/>
        <v/>
      </c>
      <c r="I34" s="37" t="s">
        <v>4441</v>
      </c>
      <c r="J34" s="5" t="str">
        <f t="shared" si="1"/>
        <v>chancellor</v>
      </c>
      <c r="K34" s="37" t="s">
        <v>4580</v>
      </c>
      <c r="L34" s="5" t="str">
        <f t="shared" si="2"/>
        <v>disaster</v>
      </c>
      <c r="M34" s="37" t="s">
        <v>4689</v>
      </c>
      <c r="N34" s="5" t="str">
        <f t="shared" si="3"/>
        <v/>
      </c>
      <c r="O34" s="37" t="s">
        <v>4798</v>
      </c>
      <c r="P34" s="5" t="str">
        <f t="shared" si="4"/>
        <v>investigator</v>
      </c>
      <c r="Q34" s="37" t="s">
        <v>4936</v>
      </c>
      <c r="R34" s="5" t="str">
        <f t="shared" si="5"/>
        <v/>
      </c>
      <c r="S34" s="37" t="s">
        <v>5044</v>
      </c>
      <c r="T34" s="5" t="str">
        <f t="shared" si="6"/>
        <v/>
      </c>
      <c r="U34" s="37" t="s">
        <v>5147</v>
      </c>
      <c r="V34" s="5" t="str">
        <f t="shared" si="7"/>
        <v/>
      </c>
      <c r="W34" s="37" t="s">
        <v>5293</v>
      </c>
      <c r="X34" s="5" t="str">
        <f t="shared" si="8"/>
        <v/>
      </c>
      <c r="Z34" t="str">
        <f t="shared" si="18"/>
        <v>N</v>
      </c>
      <c r="AA34" t="s">
        <v>317</v>
      </c>
      <c r="AB34" t="str">
        <f t="shared" si="9"/>
        <v>N</v>
      </c>
      <c r="AC34" t="s">
        <v>318</v>
      </c>
      <c r="AD34" t="str">
        <f t="shared" si="10"/>
        <v>N</v>
      </c>
      <c r="AE34" t="s">
        <v>319</v>
      </c>
      <c r="AF34" t="str">
        <f t="shared" si="11"/>
        <v>Y</v>
      </c>
      <c r="AG34" t="s">
        <v>320</v>
      </c>
      <c r="AH34" t="str">
        <f t="shared" si="12"/>
        <v>N</v>
      </c>
      <c r="AI34" t="s">
        <v>321</v>
      </c>
      <c r="AJ34" t="str">
        <f t="shared" si="13"/>
        <v>Y</v>
      </c>
      <c r="AK34" t="s">
        <v>322</v>
      </c>
      <c r="AL34" t="str">
        <f t="shared" si="14"/>
        <v>Y</v>
      </c>
      <c r="AM34" t="s">
        <v>323</v>
      </c>
      <c r="AN34" t="str">
        <f t="shared" si="15"/>
        <v>Y</v>
      </c>
      <c r="AO34" t="s">
        <v>324</v>
      </c>
      <c r="AP34" t="str">
        <f t="shared" si="16"/>
        <v>Y</v>
      </c>
      <c r="AQ34" t="s">
        <v>325</v>
      </c>
    </row>
    <row r="35" spans="1:43" x14ac:dyDescent="0.4">
      <c r="A35" s="7"/>
      <c r="B35" s="7"/>
      <c r="C35" s="7"/>
      <c r="D35" s="7"/>
      <c r="E35" s="7"/>
      <c r="F35" s="7"/>
      <c r="G35" s="37" t="s">
        <v>4331</v>
      </c>
      <c r="H35" s="5" t="str">
        <f t="shared" si="0"/>
        <v/>
      </c>
      <c r="I35" s="37" t="s">
        <v>4442</v>
      </c>
      <c r="J35" s="5" t="str">
        <f t="shared" si="1"/>
        <v/>
      </c>
      <c r="K35" s="37" t="s">
        <v>4581</v>
      </c>
      <c r="L35" s="5" t="str">
        <f t="shared" si="2"/>
        <v/>
      </c>
      <c r="M35" s="37" t="s">
        <v>4690</v>
      </c>
      <c r="N35" s="5" t="str">
        <f t="shared" si="3"/>
        <v>flour</v>
      </c>
      <c r="O35" s="37" t="s">
        <v>4799</v>
      </c>
      <c r="P35" s="5" t="str">
        <f t="shared" si="4"/>
        <v/>
      </c>
      <c r="Q35" s="37" t="s">
        <v>4937</v>
      </c>
      <c r="R35" s="5" t="str">
        <f t="shared" si="5"/>
        <v>ointment</v>
      </c>
      <c r="S35" s="37" t="s">
        <v>5045</v>
      </c>
      <c r="T35" s="5" t="str">
        <f t="shared" si="6"/>
        <v/>
      </c>
      <c r="U35" s="37" t="s">
        <v>5148</v>
      </c>
      <c r="V35" s="5" t="str">
        <f t="shared" si="7"/>
        <v/>
      </c>
      <c r="W35" s="37" t="s">
        <v>5294</v>
      </c>
      <c r="X35" s="5" t="str">
        <f t="shared" si="8"/>
        <v/>
      </c>
      <c r="Z35" t="str">
        <f t="shared" si="18"/>
        <v>N</v>
      </c>
      <c r="AA35" t="s">
        <v>326</v>
      </c>
      <c r="AB35" t="str">
        <f t="shared" si="9"/>
        <v>Y</v>
      </c>
      <c r="AC35" t="s">
        <v>327</v>
      </c>
      <c r="AD35" t="str">
        <f t="shared" si="10"/>
        <v>Y</v>
      </c>
      <c r="AE35" t="s">
        <v>328</v>
      </c>
      <c r="AF35" t="str">
        <f t="shared" si="11"/>
        <v>N</v>
      </c>
      <c r="AG35" t="s">
        <v>329</v>
      </c>
      <c r="AH35" t="str">
        <f t="shared" si="12"/>
        <v>Y</v>
      </c>
      <c r="AI35" t="s">
        <v>330</v>
      </c>
      <c r="AJ35" t="str">
        <f t="shared" si="13"/>
        <v>N</v>
      </c>
      <c r="AK35" t="s">
        <v>331</v>
      </c>
      <c r="AL35" t="str">
        <f t="shared" si="14"/>
        <v>Y</v>
      </c>
      <c r="AM35" s="36" t="s">
        <v>5403</v>
      </c>
      <c r="AN35" t="str">
        <f t="shared" si="15"/>
        <v>Y</v>
      </c>
      <c r="AO35" t="s">
        <v>332</v>
      </c>
      <c r="AP35" t="str">
        <f t="shared" si="16"/>
        <v>Y</v>
      </c>
      <c r="AQ35" t="s">
        <v>333</v>
      </c>
    </row>
    <row r="36" spans="1:43" x14ac:dyDescent="0.4">
      <c r="A36" s="7"/>
      <c r="B36" s="7"/>
      <c r="C36" s="7"/>
      <c r="D36" s="7"/>
      <c r="E36" s="7"/>
      <c r="F36" s="7"/>
      <c r="G36" s="37" t="s">
        <v>4332</v>
      </c>
      <c r="H36" s="5" t="str">
        <f t="shared" si="0"/>
        <v/>
      </c>
      <c r="I36" s="37" t="s">
        <v>4443</v>
      </c>
      <c r="J36" s="5" t="str">
        <f t="shared" si="1"/>
        <v/>
      </c>
      <c r="K36" s="37" t="s">
        <v>4582</v>
      </c>
      <c r="L36" s="5" t="str">
        <f t="shared" si="2"/>
        <v/>
      </c>
      <c r="M36" s="37" t="s">
        <v>4691</v>
      </c>
      <c r="N36" s="5" t="str">
        <f t="shared" si="3"/>
        <v/>
      </c>
      <c r="O36" s="37" t="s">
        <v>4800</v>
      </c>
      <c r="P36" s="5" t="str">
        <f t="shared" si="4"/>
        <v/>
      </c>
      <c r="Q36" s="37" t="s">
        <v>4938</v>
      </c>
      <c r="R36" s="5" t="str">
        <f t="shared" si="5"/>
        <v/>
      </c>
      <c r="S36" s="37" t="s">
        <v>5046</v>
      </c>
      <c r="T36" s="5" t="str">
        <f t="shared" si="6"/>
        <v/>
      </c>
      <c r="U36" s="37" t="s">
        <v>5149</v>
      </c>
      <c r="V36" s="5" t="str">
        <f t="shared" si="7"/>
        <v/>
      </c>
      <c r="W36" s="37" t="s">
        <v>5295</v>
      </c>
      <c r="X36" s="5" t="str">
        <f t="shared" si="8"/>
        <v/>
      </c>
      <c r="Z36" t="str">
        <f t="shared" si="18"/>
        <v>N</v>
      </c>
      <c r="AA36" t="s">
        <v>334</v>
      </c>
      <c r="AB36" t="str">
        <f t="shared" si="9"/>
        <v>Y</v>
      </c>
      <c r="AC36" t="s">
        <v>335</v>
      </c>
      <c r="AD36" t="str">
        <f t="shared" si="10"/>
        <v>Y</v>
      </c>
      <c r="AE36" t="s">
        <v>336</v>
      </c>
      <c r="AF36" t="str">
        <f t="shared" si="11"/>
        <v>Y</v>
      </c>
      <c r="AG36" t="s">
        <v>337</v>
      </c>
      <c r="AH36" t="str">
        <f t="shared" si="12"/>
        <v>Y</v>
      </c>
      <c r="AI36" t="s">
        <v>338</v>
      </c>
      <c r="AJ36" t="str">
        <f t="shared" si="13"/>
        <v>Y</v>
      </c>
      <c r="AK36" t="s">
        <v>339</v>
      </c>
      <c r="AL36" t="str">
        <f t="shared" si="14"/>
        <v>Y</v>
      </c>
      <c r="AM36" t="s">
        <v>340</v>
      </c>
      <c r="AN36" t="str">
        <f t="shared" si="15"/>
        <v>Y</v>
      </c>
      <c r="AO36" t="s">
        <v>341</v>
      </c>
      <c r="AP36" t="str">
        <f t="shared" si="16"/>
        <v>Y</v>
      </c>
      <c r="AQ36" t="s">
        <v>342</v>
      </c>
    </row>
    <row r="37" spans="1:43" x14ac:dyDescent="0.4">
      <c r="E37" s="7"/>
      <c r="F37" s="7"/>
      <c r="G37" s="37" t="s">
        <v>4333</v>
      </c>
      <c r="H37" s="5" t="str">
        <f t="shared" si="0"/>
        <v>Antarctica</v>
      </c>
      <c r="I37" s="37" t="s">
        <v>4444</v>
      </c>
      <c r="J37" s="5" t="str">
        <f t="shared" si="1"/>
        <v/>
      </c>
      <c r="K37" s="37" t="s">
        <v>4583</v>
      </c>
      <c r="L37" s="5" t="str">
        <f t="shared" si="2"/>
        <v/>
      </c>
      <c r="M37" s="37" t="s">
        <v>4692</v>
      </c>
      <c r="N37" s="5" t="str">
        <f t="shared" si="3"/>
        <v/>
      </c>
      <c r="O37" s="37" t="s">
        <v>4801</v>
      </c>
      <c r="P37" s="5" t="str">
        <f t="shared" si="4"/>
        <v/>
      </c>
      <c r="Q37" s="37" t="s">
        <v>4939</v>
      </c>
      <c r="R37" s="5" t="str">
        <f t="shared" si="5"/>
        <v/>
      </c>
      <c r="S37" s="37" t="s">
        <v>5047</v>
      </c>
      <c r="T37" s="5" t="str">
        <f t="shared" si="6"/>
        <v/>
      </c>
      <c r="U37" s="37" t="s">
        <v>5150</v>
      </c>
      <c r="V37" s="5" t="str">
        <f t="shared" si="7"/>
        <v/>
      </c>
      <c r="W37" s="37" t="s">
        <v>5296</v>
      </c>
      <c r="X37" s="5" t="str">
        <f t="shared" si="8"/>
        <v/>
      </c>
      <c r="Z37" t="str">
        <f t="shared" si="18"/>
        <v>N</v>
      </c>
      <c r="AA37" t="s">
        <v>343</v>
      </c>
      <c r="AB37" t="str">
        <f t="shared" si="9"/>
        <v>Y</v>
      </c>
      <c r="AC37" t="s">
        <v>344</v>
      </c>
      <c r="AD37" t="str">
        <f t="shared" si="10"/>
        <v>Y</v>
      </c>
      <c r="AE37" t="s">
        <v>345</v>
      </c>
      <c r="AF37" t="str">
        <f t="shared" si="11"/>
        <v>Y</v>
      </c>
      <c r="AG37" t="s">
        <v>346</v>
      </c>
      <c r="AH37" t="str">
        <f t="shared" si="12"/>
        <v>Y</v>
      </c>
      <c r="AI37" t="s">
        <v>347</v>
      </c>
      <c r="AJ37" t="str">
        <f t="shared" si="13"/>
        <v>Y</v>
      </c>
      <c r="AK37" t="s">
        <v>348</v>
      </c>
      <c r="AL37" t="str">
        <f t="shared" si="14"/>
        <v>Y</v>
      </c>
      <c r="AM37" t="s">
        <v>349</v>
      </c>
      <c r="AN37" t="str">
        <f t="shared" si="15"/>
        <v>Y</v>
      </c>
      <c r="AO37" t="s">
        <v>350</v>
      </c>
      <c r="AP37" t="str">
        <f t="shared" si="16"/>
        <v>Y</v>
      </c>
      <c r="AQ37" t="s">
        <v>351</v>
      </c>
    </row>
    <row r="38" spans="1:43" x14ac:dyDescent="0.4">
      <c r="A38" s="7"/>
      <c r="B38" s="7"/>
      <c r="C38" s="7"/>
      <c r="D38" s="7"/>
      <c r="E38" s="7"/>
      <c r="F38" s="7"/>
      <c r="G38" s="37" t="s">
        <v>4334</v>
      </c>
      <c r="H38" s="5" t="str">
        <f t="shared" si="0"/>
        <v/>
      </c>
      <c r="I38" s="37" t="s">
        <v>4445</v>
      </c>
      <c r="J38" s="5" t="str">
        <f t="shared" si="1"/>
        <v/>
      </c>
      <c r="K38" s="37" t="s">
        <v>4584</v>
      </c>
      <c r="L38" s="5" t="str">
        <f t="shared" si="2"/>
        <v/>
      </c>
      <c r="M38" s="37" t="s">
        <v>4693</v>
      </c>
      <c r="N38" s="5" t="str">
        <f t="shared" si="3"/>
        <v/>
      </c>
      <c r="O38" s="37" t="s">
        <v>4802</v>
      </c>
      <c r="P38" s="5" t="str">
        <f t="shared" si="4"/>
        <v/>
      </c>
      <c r="Q38" s="37" t="s">
        <v>4940</v>
      </c>
      <c r="R38" s="5" t="str">
        <f t="shared" si="5"/>
        <v/>
      </c>
      <c r="S38" s="37" t="s">
        <v>5048</v>
      </c>
      <c r="T38" s="5" t="str">
        <f t="shared" si="6"/>
        <v/>
      </c>
      <c r="U38" s="37" t="s">
        <v>5151</v>
      </c>
      <c r="V38" s="5" t="str">
        <f t="shared" si="7"/>
        <v>secretary</v>
      </c>
      <c r="W38" s="37" t="s">
        <v>5297</v>
      </c>
      <c r="X38" s="5" t="str">
        <f t="shared" si="8"/>
        <v/>
      </c>
      <c r="Z38" t="str">
        <f t="shared" si="18"/>
        <v>N</v>
      </c>
      <c r="AA38" t="s">
        <v>352</v>
      </c>
      <c r="AB38" t="str">
        <f t="shared" si="9"/>
        <v>Y</v>
      </c>
      <c r="AC38" t="s">
        <v>353</v>
      </c>
      <c r="AD38" t="str">
        <f t="shared" si="10"/>
        <v>Y</v>
      </c>
      <c r="AE38" s="36" t="s">
        <v>4584</v>
      </c>
      <c r="AF38" t="str">
        <f t="shared" si="11"/>
        <v>Y</v>
      </c>
      <c r="AG38" t="s">
        <v>354</v>
      </c>
      <c r="AH38" t="str">
        <f t="shared" si="12"/>
        <v>Y</v>
      </c>
      <c r="AI38" t="s">
        <v>355</v>
      </c>
      <c r="AJ38" t="str">
        <f t="shared" si="13"/>
        <v>Y</v>
      </c>
      <c r="AK38" t="s">
        <v>356</v>
      </c>
      <c r="AL38" t="str">
        <f t="shared" si="14"/>
        <v>Y</v>
      </c>
      <c r="AM38" t="s">
        <v>357</v>
      </c>
      <c r="AN38" t="str">
        <f t="shared" si="15"/>
        <v>N</v>
      </c>
      <c r="AO38" t="s">
        <v>358</v>
      </c>
      <c r="AP38" t="str">
        <f t="shared" si="16"/>
        <v>Y</v>
      </c>
      <c r="AQ38" t="s">
        <v>359</v>
      </c>
    </row>
    <row r="39" spans="1:43" ht="14.25" x14ac:dyDescent="0.4">
      <c r="A39" s="49" t="s">
        <v>360</v>
      </c>
      <c r="B39" s="50"/>
      <c r="C39" s="50"/>
      <c r="D39" s="50"/>
      <c r="E39" s="7"/>
      <c r="F39" s="7"/>
      <c r="G39" s="37" t="s">
        <v>4335</v>
      </c>
      <c r="H39" s="5" t="str">
        <f t="shared" si="0"/>
        <v/>
      </c>
      <c r="I39" s="37" t="s">
        <v>4446</v>
      </c>
      <c r="J39" s="5" t="str">
        <f t="shared" si="1"/>
        <v/>
      </c>
      <c r="K39" s="37" t="s">
        <v>4585</v>
      </c>
      <c r="L39" s="5" t="str">
        <f t="shared" si="2"/>
        <v/>
      </c>
      <c r="M39" s="37" t="s">
        <v>4694</v>
      </c>
      <c r="N39" s="5" t="str">
        <f t="shared" si="3"/>
        <v/>
      </c>
      <c r="O39" s="37" t="s">
        <v>4803</v>
      </c>
      <c r="P39" s="5" t="str">
        <f t="shared" si="4"/>
        <v/>
      </c>
      <c r="Q39" s="37" t="s">
        <v>4941</v>
      </c>
      <c r="R39" s="5" t="str">
        <f t="shared" si="5"/>
        <v/>
      </c>
      <c r="S39" s="37" t="s">
        <v>5049</v>
      </c>
      <c r="T39" s="5" t="str">
        <f t="shared" si="6"/>
        <v>quarter</v>
      </c>
      <c r="U39" s="37" t="s">
        <v>5152</v>
      </c>
      <c r="V39" s="5" t="str">
        <f t="shared" si="7"/>
        <v/>
      </c>
      <c r="W39" s="37" t="s">
        <v>5298</v>
      </c>
      <c r="X39" s="5" t="str">
        <f t="shared" si="8"/>
        <v/>
      </c>
      <c r="Z39" t="str">
        <f t="shared" si="18"/>
        <v>N</v>
      </c>
      <c r="AA39" t="s">
        <v>361</v>
      </c>
      <c r="AB39" t="str">
        <f t="shared" si="9"/>
        <v>Y</v>
      </c>
      <c r="AC39" t="s">
        <v>362</v>
      </c>
      <c r="AD39" t="str">
        <f t="shared" si="10"/>
        <v>Y</v>
      </c>
      <c r="AE39" t="s">
        <v>363</v>
      </c>
      <c r="AF39" t="str">
        <f t="shared" si="11"/>
        <v>Y</v>
      </c>
      <c r="AG39" t="s">
        <v>364</v>
      </c>
      <c r="AH39" t="str">
        <f t="shared" si="12"/>
        <v>Y</v>
      </c>
      <c r="AI39" t="s">
        <v>365</v>
      </c>
      <c r="AJ39" t="str">
        <f t="shared" si="13"/>
        <v>Y</v>
      </c>
      <c r="AK39" t="s">
        <v>366</v>
      </c>
      <c r="AL39" t="str">
        <f t="shared" si="14"/>
        <v>N</v>
      </c>
      <c r="AM39" t="s">
        <v>367</v>
      </c>
      <c r="AN39" t="str">
        <f t="shared" si="15"/>
        <v>Y</v>
      </c>
      <c r="AO39" t="s">
        <v>368</v>
      </c>
      <c r="AP39" t="str">
        <f t="shared" si="16"/>
        <v>Y</v>
      </c>
      <c r="AQ39" t="s">
        <v>369</v>
      </c>
    </row>
    <row r="40" spans="1:43" x14ac:dyDescent="0.4">
      <c r="A40" s="7"/>
      <c r="B40" s="7"/>
      <c r="C40" s="7"/>
      <c r="D40" s="7"/>
      <c r="E40" s="7"/>
      <c r="F40" s="7"/>
      <c r="G40" s="37" t="s">
        <v>4336</v>
      </c>
      <c r="H40" s="5" t="str">
        <f t="shared" si="0"/>
        <v>architect</v>
      </c>
      <c r="I40" s="37" t="s">
        <v>4447</v>
      </c>
      <c r="J40" s="5" t="str">
        <f t="shared" si="1"/>
        <v/>
      </c>
      <c r="K40" s="37" t="s">
        <v>4586</v>
      </c>
      <c r="L40" s="5" t="str">
        <f t="shared" si="2"/>
        <v/>
      </c>
      <c r="M40" s="37" t="s">
        <v>4695</v>
      </c>
      <c r="N40" s="5" t="str">
        <f t="shared" si="3"/>
        <v/>
      </c>
      <c r="O40" s="37" t="s">
        <v>4804</v>
      </c>
      <c r="P40" s="5" t="str">
        <f t="shared" si="4"/>
        <v/>
      </c>
      <c r="Q40" s="37" t="s">
        <v>4942</v>
      </c>
      <c r="R40" s="5" t="str">
        <f t="shared" si="5"/>
        <v>original</v>
      </c>
      <c r="S40" s="37" t="s">
        <v>5050</v>
      </c>
      <c r="T40" s="5" t="str">
        <f t="shared" si="6"/>
        <v/>
      </c>
      <c r="U40" s="37" t="s">
        <v>5153</v>
      </c>
      <c r="V40" s="5" t="str">
        <f t="shared" si="7"/>
        <v/>
      </c>
      <c r="W40" s="37" t="s">
        <v>5299</v>
      </c>
      <c r="X40" s="5" t="str">
        <f t="shared" si="8"/>
        <v>toilet</v>
      </c>
      <c r="Z40" t="str">
        <f t="shared" si="18"/>
        <v>N</v>
      </c>
      <c r="AA40" t="s">
        <v>370</v>
      </c>
      <c r="AB40" t="str">
        <f t="shared" si="9"/>
        <v>Y</v>
      </c>
      <c r="AC40" t="s">
        <v>371</v>
      </c>
      <c r="AD40" t="str">
        <f t="shared" si="10"/>
        <v>Y</v>
      </c>
      <c r="AE40" t="s">
        <v>372</v>
      </c>
      <c r="AF40" t="str">
        <f t="shared" si="11"/>
        <v>Y</v>
      </c>
      <c r="AG40" t="s">
        <v>373</v>
      </c>
      <c r="AH40" t="str">
        <f t="shared" si="12"/>
        <v>Y</v>
      </c>
      <c r="AI40" t="s">
        <v>374</v>
      </c>
      <c r="AJ40" t="str">
        <f t="shared" si="13"/>
        <v>N</v>
      </c>
      <c r="AK40" t="s">
        <v>375</v>
      </c>
      <c r="AL40" t="str">
        <f t="shared" si="14"/>
        <v>Y</v>
      </c>
      <c r="AM40" t="s">
        <v>376</v>
      </c>
      <c r="AN40" t="str">
        <f t="shared" si="15"/>
        <v>Y</v>
      </c>
      <c r="AO40" t="s">
        <v>377</v>
      </c>
      <c r="AP40" t="str">
        <f t="shared" si="16"/>
        <v>N</v>
      </c>
      <c r="AQ40" t="s">
        <v>378</v>
      </c>
    </row>
    <row r="41" spans="1:43" x14ac:dyDescent="0.4">
      <c r="A41" s="7"/>
      <c r="B41" s="7"/>
      <c r="C41" s="7"/>
      <c r="D41" s="7"/>
      <c r="E41" s="7"/>
      <c r="F41" s="7"/>
      <c r="G41" s="37" t="s">
        <v>4337</v>
      </c>
      <c r="H41" s="5" t="str">
        <f t="shared" si="0"/>
        <v>architectures</v>
      </c>
      <c r="I41" s="37" t="s">
        <v>4448</v>
      </c>
      <c r="J41" s="5" t="str">
        <f t="shared" si="1"/>
        <v/>
      </c>
      <c r="K41" s="37" t="s">
        <v>4587</v>
      </c>
      <c r="L41" s="5" t="str">
        <f t="shared" si="2"/>
        <v/>
      </c>
      <c r="M41" s="37" t="s">
        <v>4696</v>
      </c>
      <c r="N41" s="5" t="str">
        <f t="shared" si="3"/>
        <v/>
      </c>
      <c r="O41" s="37" t="s">
        <v>4805</v>
      </c>
      <c r="P41" s="5" t="str">
        <f t="shared" si="4"/>
        <v/>
      </c>
      <c r="Q41" s="37" t="s">
        <v>4943</v>
      </c>
      <c r="R41" s="5" t="str">
        <f t="shared" si="5"/>
        <v/>
      </c>
      <c r="S41" s="37" t="s">
        <v>5051</v>
      </c>
      <c r="T41" s="5" t="str">
        <f t="shared" si="6"/>
        <v/>
      </c>
      <c r="U41" s="37" t="s">
        <v>5154</v>
      </c>
      <c r="V41" s="5" t="str">
        <f t="shared" si="7"/>
        <v>selection</v>
      </c>
      <c r="W41" s="37" t="s">
        <v>5300</v>
      </c>
      <c r="X41" s="5" t="str">
        <f t="shared" si="8"/>
        <v/>
      </c>
      <c r="Z41" t="str">
        <f t="shared" si="18"/>
        <v>N</v>
      </c>
      <c r="AA41" t="s">
        <v>379</v>
      </c>
      <c r="AB41" t="str">
        <f t="shared" si="9"/>
        <v>Y</v>
      </c>
      <c r="AC41" t="s">
        <v>380</v>
      </c>
      <c r="AD41" t="str">
        <f t="shared" si="10"/>
        <v>Y</v>
      </c>
      <c r="AE41" t="s">
        <v>381</v>
      </c>
      <c r="AF41" t="str">
        <f t="shared" si="11"/>
        <v>Y</v>
      </c>
      <c r="AG41" t="s">
        <v>382</v>
      </c>
      <c r="AH41" t="str">
        <f t="shared" si="12"/>
        <v>Y</v>
      </c>
      <c r="AI41" t="s">
        <v>383</v>
      </c>
      <c r="AJ41" t="str">
        <f t="shared" si="13"/>
        <v>Y</v>
      </c>
      <c r="AK41" t="s">
        <v>384</v>
      </c>
      <c r="AL41" t="str">
        <f t="shared" si="14"/>
        <v>Y</v>
      </c>
      <c r="AM41" t="s">
        <v>385</v>
      </c>
      <c r="AN41" t="str">
        <f t="shared" si="15"/>
        <v>N</v>
      </c>
      <c r="AO41" t="s">
        <v>386</v>
      </c>
      <c r="AP41" t="str">
        <f t="shared" si="16"/>
        <v>Y</v>
      </c>
      <c r="AQ41" t="s">
        <v>387</v>
      </c>
    </row>
    <row r="42" spans="1:43" x14ac:dyDescent="0.4">
      <c r="A42" s="7"/>
      <c r="B42" s="7"/>
      <c r="C42" s="7"/>
      <c r="D42" s="7"/>
      <c r="E42" s="7"/>
      <c r="F42" s="7"/>
      <c r="G42" s="37" t="s">
        <v>4338</v>
      </c>
      <c r="H42" s="5" t="str">
        <f t="shared" si="0"/>
        <v/>
      </c>
      <c r="I42" s="37" t="s">
        <v>4449</v>
      </c>
      <c r="J42" s="5" t="str">
        <f t="shared" si="1"/>
        <v/>
      </c>
      <c r="K42" s="37" t="s">
        <v>4588</v>
      </c>
      <c r="L42" s="5" t="str">
        <f t="shared" si="2"/>
        <v/>
      </c>
      <c r="M42" s="37" t="s">
        <v>4697</v>
      </c>
      <c r="N42" s="5" t="str">
        <f t="shared" si="3"/>
        <v/>
      </c>
      <c r="O42" s="37" t="s">
        <v>4806</v>
      </c>
      <c r="P42" s="5" t="str">
        <f t="shared" si="4"/>
        <v/>
      </c>
      <c r="Q42" s="37" t="s">
        <v>4944</v>
      </c>
      <c r="R42" s="5" t="str">
        <f t="shared" si="5"/>
        <v/>
      </c>
      <c r="S42" s="37" t="s">
        <v>5052</v>
      </c>
      <c r="T42" s="5" t="str">
        <f t="shared" si="6"/>
        <v>radiator</v>
      </c>
      <c r="U42" s="37" t="s">
        <v>5155</v>
      </c>
      <c r="V42" s="5" t="str">
        <f t="shared" si="7"/>
        <v>selections</v>
      </c>
      <c r="W42" s="37" t="s">
        <v>5301</v>
      </c>
      <c r="X42" s="5" t="str">
        <f t="shared" si="8"/>
        <v/>
      </c>
      <c r="Z42" t="str">
        <f t="shared" si="18"/>
        <v>N</v>
      </c>
      <c r="AA42" t="s">
        <v>388</v>
      </c>
      <c r="AB42" t="str">
        <f t="shared" si="9"/>
        <v>Y</v>
      </c>
      <c r="AC42" t="s">
        <v>389</v>
      </c>
      <c r="AD42" t="str">
        <f t="shared" si="10"/>
        <v>Y</v>
      </c>
      <c r="AE42" t="s">
        <v>390</v>
      </c>
      <c r="AF42" t="str">
        <f t="shared" si="11"/>
        <v>Y</v>
      </c>
      <c r="AG42" t="s">
        <v>391</v>
      </c>
      <c r="AH42" t="str">
        <f t="shared" si="12"/>
        <v>Y</v>
      </c>
      <c r="AI42" t="s">
        <v>392</v>
      </c>
      <c r="AJ42" t="str">
        <f t="shared" si="13"/>
        <v>Y</v>
      </c>
      <c r="AK42" t="s">
        <v>393</v>
      </c>
      <c r="AL42" t="str">
        <f t="shared" si="14"/>
        <v>N</v>
      </c>
      <c r="AM42" t="s">
        <v>394</v>
      </c>
      <c r="AN42" t="str">
        <f t="shared" si="15"/>
        <v>N</v>
      </c>
      <c r="AO42" t="s">
        <v>395</v>
      </c>
      <c r="AP42" t="str">
        <f t="shared" si="16"/>
        <v>Y</v>
      </c>
      <c r="AQ42" t="s">
        <v>396</v>
      </c>
    </row>
    <row r="43" spans="1:43" x14ac:dyDescent="0.4">
      <c r="A43" s="7"/>
      <c r="B43" s="7"/>
      <c r="C43" s="7"/>
      <c r="D43" s="7"/>
      <c r="E43" s="7"/>
      <c r="F43" s="7"/>
      <c r="G43" s="37" t="s">
        <v>4339</v>
      </c>
      <c r="H43" s="5" t="str">
        <f t="shared" si="0"/>
        <v>argument</v>
      </c>
      <c r="I43" s="37" t="s">
        <v>4450</v>
      </c>
      <c r="J43" s="5" t="str">
        <f t="shared" si="1"/>
        <v>checks</v>
      </c>
      <c r="K43" s="37" t="s">
        <v>4589</v>
      </c>
      <c r="L43" s="5" t="str">
        <f t="shared" si="2"/>
        <v/>
      </c>
      <c r="M43" s="37" t="s">
        <v>4698</v>
      </c>
      <c r="N43" s="5" t="str">
        <f t="shared" si="3"/>
        <v/>
      </c>
      <c r="O43" s="37" t="s">
        <v>4807</v>
      </c>
      <c r="P43" s="5" t="str">
        <f t="shared" si="4"/>
        <v/>
      </c>
      <c r="Q43" s="37" t="s">
        <v>4945</v>
      </c>
      <c r="R43" s="5" t="str">
        <f t="shared" si="5"/>
        <v/>
      </c>
      <c r="S43" s="37" t="s">
        <v>5053</v>
      </c>
      <c r="T43" s="5" t="str">
        <f t="shared" si="6"/>
        <v/>
      </c>
      <c r="U43" s="37" t="s">
        <v>5156</v>
      </c>
      <c r="V43" s="5" t="str">
        <f t="shared" si="7"/>
        <v/>
      </c>
      <c r="W43" s="37" t="s">
        <v>5302</v>
      </c>
      <c r="X43" s="5" t="str">
        <f t="shared" si="8"/>
        <v/>
      </c>
      <c r="Z43" t="str">
        <f t="shared" si="18"/>
        <v>N</v>
      </c>
      <c r="AA43" t="s">
        <v>397</v>
      </c>
      <c r="AB43" t="str">
        <f t="shared" si="9"/>
        <v>N</v>
      </c>
      <c r="AC43" t="s">
        <v>398</v>
      </c>
      <c r="AD43" t="str">
        <f t="shared" si="10"/>
        <v>Y</v>
      </c>
      <c r="AE43" t="s">
        <v>399</v>
      </c>
      <c r="AF43" t="str">
        <f t="shared" si="11"/>
        <v>Y</v>
      </c>
      <c r="AG43" t="s">
        <v>400</v>
      </c>
      <c r="AH43" t="str">
        <f t="shared" si="12"/>
        <v>Y</v>
      </c>
      <c r="AI43" t="s">
        <v>401</v>
      </c>
      <c r="AJ43" t="str">
        <f t="shared" si="13"/>
        <v>Y</v>
      </c>
      <c r="AK43" t="s">
        <v>402</v>
      </c>
      <c r="AL43" t="str">
        <f t="shared" si="14"/>
        <v>Y</v>
      </c>
      <c r="AM43" t="s">
        <v>403</v>
      </c>
      <c r="AN43" t="str">
        <f t="shared" si="15"/>
        <v>Y</v>
      </c>
      <c r="AO43" t="s">
        <v>404</v>
      </c>
      <c r="AP43" t="str">
        <f t="shared" si="16"/>
        <v>Y</v>
      </c>
      <c r="AQ43" t="s">
        <v>405</v>
      </c>
    </row>
    <row r="44" spans="1:43" x14ac:dyDescent="0.4">
      <c r="A44" s="7"/>
      <c r="B44" s="7"/>
      <c r="C44" s="7"/>
      <c r="D44" s="7"/>
      <c r="E44" s="7"/>
      <c r="F44" s="7"/>
      <c r="G44" s="37" t="s">
        <v>4340</v>
      </c>
      <c r="H44" s="5" t="str">
        <f t="shared" si="0"/>
        <v>aristocrat</v>
      </c>
      <c r="I44" s="37" t="s">
        <v>4451</v>
      </c>
      <c r="J44" s="5" t="str">
        <f t="shared" si="1"/>
        <v/>
      </c>
      <c r="K44" s="37" t="s">
        <v>4590</v>
      </c>
      <c r="L44" s="5" t="str">
        <f t="shared" si="2"/>
        <v>dispute</v>
      </c>
      <c r="M44" s="37" t="s">
        <v>4699</v>
      </c>
      <c r="N44" s="5" t="str">
        <f t="shared" si="3"/>
        <v/>
      </c>
      <c r="O44" s="37" t="s">
        <v>4808</v>
      </c>
      <c r="P44" s="5" t="str">
        <f t="shared" si="4"/>
        <v/>
      </c>
      <c r="Q44" s="37" t="s">
        <v>4946</v>
      </c>
      <c r="R44" s="5" t="str">
        <f t="shared" si="5"/>
        <v/>
      </c>
      <c r="S44" s="37" t="s">
        <v>5054</v>
      </c>
      <c r="T44" s="5" t="str">
        <f t="shared" si="6"/>
        <v/>
      </c>
      <c r="U44" s="37" t="s">
        <v>5157</v>
      </c>
      <c r="V44" s="5" t="str">
        <f t="shared" si="7"/>
        <v/>
      </c>
      <c r="W44" s="37" t="s">
        <v>5303</v>
      </c>
      <c r="X44" s="5" t="str">
        <f t="shared" si="8"/>
        <v/>
      </c>
      <c r="Z44" t="str">
        <f t="shared" si="18"/>
        <v>N</v>
      </c>
      <c r="AA44" t="s">
        <v>406</v>
      </c>
      <c r="AB44" t="str">
        <f t="shared" si="9"/>
        <v>Y</v>
      </c>
      <c r="AC44" t="s">
        <v>407</v>
      </c>
      <c r="AD44" t="str">
        <f t="shared" si="10"/>
        <v>N</v>
      </c>
      <c r="AE44" t="s">
        <v>408</v>
      </c>
      <c r="AF44" t="str">
        <f t="shared" si="11"/>
        <v>Y</v>
      </c>
      <c r="AG44" t="s">
        <v>409</v>
      </c>
      <c r="AH44" t="str">
        <f t="shared" si="12"/>
        <v>Y</v>
      </c>
      <c r="AI44" t="s">
        <v>410</v>
      </c>
      <c r="AJ44" t="str">
        <f t="shared" si="13"/>
        <v>Y</v>
      </c>
      <c r="AK44" t="s">
        <v>411</v>
      </c>
      <c r="AL44" t="str">
        <f t="shared" si="14"/>
        <v>Y</v>
      </c>
      <c r="AM44" t="s">
        <v>412</v>
      </c>
      <c r="AN44" t="str">
        <f t="shared" si="15"/>
        <v>Y</v>
      </c>
      <c r="AO44" t="s">
        <v>413</v>
      </c>
      <c r="AP44" t="str">
        <f t="shared" si="16"/>
        <v>Y</v>
      </c>
      <c r="AQ44" t="s">
        <v>414</v>
      </c>
    </row>
    <row r="45" spans="1:43" x14ac:dyDescent="0.4">
      <c r="A45" s="7"/>
      <c r="B45" s="7"/>
      <c r="C45" s="7"/>
      <c r="D45" s="7"/>
      <c r="E45" s="7"/>
      <c r="F45" s="7"/>
      <c r="G45" s="37" t="s">
        <v>4341</v>
      </c>
      <c r="H45" s="5" t="str">
        <f t="shared" si="0"/>
        <v/>
      </c>
      <c r="I45" s="37" t="s">
        <v>4452</v>
      </c>
      <c r="J45" s="5" t="str">
        <f t="shared" si="1"/>
        <v>chemist's</v>
      </c>
      <c r="K45" s="37" t="s">
        <v>4591</v>
      </c>
      <c r="L45" s="5" t="str">
        <f t="shared" si="2"/>
        <v/>
      </c>
      <c r="M45" s="37" t="s">
        <v>4700</v>
      </c>
      <c r="N45" s="5" t="str">
        <f t="shared" si="3"/>
        <v/>
      </c>
      <c r="O45" s="37" t="s">
        <v>4809</v>
      </c>
      <c r="P45" s="5" t="str">
        <f t="shared" si="4"/>
        <v/>
      </c>
      <c r="Q45" s="37" t="s">
        <v>4947</v>
      </c>
      <c r="R45" s="5" t="str">
        <f t="shared" si="5"/>
        <v>Oxford</v>
      </c>
      <c r="S45" s="37" t="s">
        <v>5055</v>
      </c>
      <c r="T45" s="5" t="str">
        <f t="shared" si="6"/>
        <v/>
      </c>
      <c r="U45" s="37" t="s">
        <v>5158</v>
      </c>
      <c r="V45" s="5" t="str">
        <f t="shared" si="7"/>
        <v/>
      </c>
      <c r="W45" s="37" t="s">
        <v>5304</v>
      </c>
      <c r="X45" s="5" t="str">
        <f t="shared" si="8"/>
        <v/>
      </c>
      <c r="Z45" t="str">
        <f t="shared" si="18"/>
        <v>N</v>
      </c>
      <c r="AA45" t="s">
        <v>415</v>
      </c>
      <c r="AB45" t="str">
        <f t="shared" si="9"/>
        <v>N</v>
      </c>
      <c r="AC45" t="s">
        <v>416</v>
      </c>
      <c r="AD45" t="str">
        <f t="shared" si="10"/>
        <v>Y</v>
      </c>
      <c r="AE45" t="s">
        <v>417</v>
      </c>
      <c r="AF45" t="str">
        <f t="shared" si="11"/>
        <v>Y</v>
      </c>
      <c r="AG45" t="s">
        <v>418</v>
      </c>
      <c r="AH45" t="str">
        <f t="shared" si="12"/>
        <v>Y</v>
      </c>
      <c r="AI45" t="s">
        <v>419</v>
      </c>
      <c r="AJ45" t="str">
        <f t="shared" si="13"/>
        <v>N</v>
      </c>
      <c r="AK45" t="s">
        <v>420</v>
      </c>
      <c r="AL45" t="str">
        <f t="shared" si="14"/>
        <v>Y</v>
      </c>
      <c r="AM45" t="s">
        <v>421</v>
      </c>
      <c r="AN45" t="str">
        <f t="shared" si="15"/>
        <v>Y</v>
      </c>
      <c r="AO45" t="s">
        <v>422</v>
      </c>
      <c r="AP45" t="str">
        <f t="shared" si="16"/>
        <v>Y</v>
      </c>
      <c r="AQ45" t="s">
        <v>423</v>
      </c>
    </row>
    <row r="46" spans="1:43" x14ac:dyDescent="0.4">
      <c r="A46" s="7"/>
      <c r="B46" s="7"/>
      <c r="C46" s="7"/>
      <c r="D46" s="7"/>
      <c r="E46" s="7"/>
      <c r="F46" s="7"/>
      <c r="G46" s="37" t="s">
        <v>4342</v>
      </c>
      <c r="H46" s="5" t="str">
        <f t="shared" si="0"/>
        <v/>
      </c>
      <c r="I46" s="37" t="s">
        <v>4404</v>
      </c>
      <c r="J46" s="5" t="str">
        <f t="shared" si="1"/>
        <v>chest</v>
      </c>
      <c r="K46" s="37" t="s">
        <v>4592</v>
      </c>
      <c r="L46" s="5" t="str">
        <f t="shared" si="2"/>
        <v/>
      </c>
      <c r="M46" s="37" t="s">
        <v>4701</v>
      </c>
      <c r="N46" s="5" t="str">
        <f t="shared" si="3"/>
        <v/>
      </c>
      <c r="O46" s="37" t="s">
        <v>4810</v>
      </c>
      <c r="P46" s="5" t="str">
        <f t="shared" si="4"/>
        <v/>
      </c>
      <c r="Q46" s="37" t="s">
        <v>4948</v>
      </c>
      <c r="R46" s="5" t="str">
        <f t="shared" si="5"/>
        <v/>
      </c>
      <c r="S46" s="37" t="s">
        <v>5056</v>
      </c>
      <c r="T46" s="5" t="str">
        <f t="shared" si="6"/>
        <v/>
      </c>
      <c r="U46" s="37" t="s">
        <v>5159</v>
      </c>
      <c r="V46" s="5" t="str">
        <f t="shared" si="7"/>
        <v>servant</v>
      </c>
      <c r="W46" s="37" t="s">
        <v>5305</v>
      </c>
      <c r="X46" s="5" t="str">
        <f t="shared" si="8"/>
        <v/>
      </c>
      <c r="Z46" t="str">
        <f t="shared" si="18"/>
        <v>N</v>
      </c>
      <c r="AA46" t="s">
        <v>424</v>
      </c>
      <c r="AB46" t="str">
        <f t="shared" si="9"/>
        <v>N</v>
      </c>
      <c r="AC46" t="s">
        <v>425</v>
      </c>
      <c r="AD46" t="str">
        <f t="shared" si="10"/>
        <v>Y</v>
      </c>
      <c r="AE46" t="s">
        <v>426</v>
      </c>
      <c r="AF46" t="str">
        <f t="shared" si="11"/>
        <v>Y</v>
      </c>
      <c r="AG46" t="s">
        <v>427</v>
      </c>
      <c r="AH46" t="str">
        <f t="shared" si="12"/>
        <v>Y</v>
      </c>
      <c r="AI46" t="s">
        <v>428</v>
      </c>
      <c r="AJ46" t="str">
        <f t="shared" si="13"/>
        <v>Y</v>
      </c>
      <c r="AK46" t="s">
        <v>429</v>
      </c>
      <c r="AL46" t="str">
        <f t="shared" si="14"/>
        <v>Y</v>
      </c>
      <c r="AM46" t="s">
        <v>430</v>
      </c>
      <c r="AN46" t="str">
        <f t="shared" si="15"/>
        <v>N</v>
      </c>
      <c r="AO46" t="s">
        <v>431</v>
      </c>
      <c r="AP46" t="str">
        <f t="shared" si="16"/>
        <v>Y</v>
      </c>
      <c r="AQ46" t="s">
        <v>432</v>
      </c>
    </row>
    <row r="47" spans="1:43" x14ac:dyDescent="0.4">
      <c r="A47" s="7"/>
      <c r="B47" s="7"/>
      <c r="C47" s="7"/>
      <c r="D47" s="7"/>
      <c r="E47" s="7"/>
      <c r="F47" s="7"/>
      <c r="G47" s="37" t="s">
        <v>4343</v>
      </c>
      <c r="H47" s="5" t="str">
        <f t="shared" si="0"/>
        <v/>
      </c>
      <c r="I47" s="37" t="s">
        <v>4453</v>
      </c>
      <c r="J47" s="5" t="str">
        <f t="shared" si="1"/>
        <v/>
      </c>
      <c r="K47" s="37" t="s">
        <v>4593</v>
      </c>
      <c r="L47" s="5" t="str">
        <f t="shared" si="2"/>
        <v/>
      </c>
      <c r="M47" s="37" t="s">
        <v>4702</v>
      </c>
      <c r="N47" s="5" t="str">
        <f t="shared" si="3"/>
        <v/>
      </c>
      <c r="O47" s="37" t="s">
        <v>4811</v>
      </c>
      <c r="P47" s="5" t="str">
        <f t="shared" si="4"/>
        <v/>
      </c>
      <c r="Q47" s="37" t="s">
        <v>4949</v>
      </c>
      <c r="R47" s="5" t="str">
        <f t="shared" si="5"/>
        <v/>
      </c>
      <c r="S47" s="37" t="s">
        <v>5057</v>
      </c>
      <c r="T47" s="5" t="str">
        <f t="shared" si="6"/>
        <v/>
      </c>
      <c r="U47" s="37" t="s">
        <v>5160</v>
      </c>
      <c r="V47" s="5" t="str">
        <f t="shared" si="7"/>
        <v/>
      </c>
      <c r="W47" s="37" t="s">
        <v>5306</v>
      </c>
      <c r="X47" s="5" t="str">
        <f t="shared" si="8"/>
        <v/>
      </c>
      <c r="Z47" t="str">
        <f t="shared" si="18"/>
        <v>N</v>
      </c>
      <c r="AA47" t="s">
        <v>433</v>
      </c>
      <c r="AB47" t="str">
        <f t="shared" si="9"/>
        <v>Y</v>
      </c>
      <c r="AC47" t="s">
        <v>434</v>
      </c>
      <c r="AD47" t="str">
        <f t="shared" si="10"/>
        <v>Y</v>
      </c>
      <c r="AE47" t="s">
        <v>435</v>
      </c>
      <c r="AF47" t="str">
        <f t="shared" si="11"/>
        <v>Y</v>
      </c>
      <c r="AG47" t="s">
        <v>436</v>
      </c>
      <c r="AH47" t="str">
        <f t="shared" si="12"/>
        <v>Y</v>
      </c>
      <c r="AI47" t="s">
        <v>437</v>
      </c>
      <c r="AJ47" t="str">
        <f t="shared" si="13"/>
        <v>Y</v>
      </c>
      <c r="AK47" t="s">
        <v>438</v>
      </c>
      <c r="AL47" t="str">
        <f t="shared" si="14"/>
        <v>Y</v>
      </c>
      <c r="AM47" t="s">
        <v>439</v>
      </c>
      <c r="AN47" t="str">
        <f t="shared" si="15"/>
        <v>Y</v>
      </c>
      <c r="AO47" t="s">
        <v>440</v>
      </c>
      <c r="AP47" t="str">
        <f t="shared" si="16"/>
        <v>Y</v>
      </c>
      <c r="AQ47" t="s">
        <v>441</v>
      </c>
    </row>
    <row r="48" spans="1:43" x14ac:dyDescent="0.4">
      <c r="A48" s="7"/>
      <c r="B48" s="7"/>
      <c r="C48" s="7"/>
      <c r="D48" s="7"/>
      <c r="E48" s="7"/>
      <c r="F48" s="7"/>
      <c r="G48" s="37" t="s">
        <v>4344</v>
      </c>
      <c r="H48" s="5" t="str">
        <f t="shared" si="0"/>
        <v>aspirin</v>
      </c>
      <c r="I48" s="37" t="s">
        <v>4454</v>
      </c>
      <c r="J48" s="5" t="str">
        <f t="shared" si="1"/>
        <v/>
      </c>
      <c r="K48" s="37" t="s">
        <v>4594</v>
      </c>
      <c r="L48" s="5" t="str">
        <f t="shared" si="2"/>
        <v/>
      </c>
      <c r="M48" s="37" t="s">
        <v>4703</v>
      </c>
      <c r="N48" s="5" t="str">
        <f t="shared" si="3"/>
        <v/>
      </c>
      <c r="O48" s="37" t="s">
        <v>4812</v>
      </c>
      <c r="P48" s="5" t="str">
        <f t="shared" si="4"/>
        <v/>
      </c>
      <c r="Q48" s="37" t="s">
        <v>4950</v>
      </c>
      <c r="R48" s="5" t="str">
        <f t="shared" si="5"/>
        <v/>
      </c>
      <c r="S48" s="37" t="s">
        <v>5058</v>
      </c>
      <c r="T48" s="5" t="str">
        <f t="shared" si="6"/>
        <v/>
      </c>
      <c r="U48" s="37" t="s">
        <v>5161</v>
      </c>
      <c r="V48" s="5" t="str">
        <f t="shared" si="7"/>
        <v>sewage</v>
      </c>
      <c r="W48" s="37" t="s">
        <v>5307</v>
      </c>
      <c r="X48" s="5" t="str">
        <f t="shared" si="8"/>
        <v/>
      </c>
      <c r="Z48" t="str">
        <f t="shared" si="18"/>
        <v>N</v>
      </c>
      <c r="AA48" t="s">
        <v>442</v>
      </c>
      <c r="AB48" t="str">
        <f t="shared" si="9"/>
        <v>Y</v>
      </c>
      <c r="AC48" t="s">
        <v>443</v>
      </c>
      <c r="AD48" t="str">
        <f t="shared" si="10"/>
        <v>Y</v>
      </c>
      <c r="AE48" t="s">
        <v>444</v>
      </c>
      <c r="AF48" t="str">
        <f t="shared" si="11"/>
        <v>Y</v>
      </c>
      <c r="AG48" t="s">
        <v>445</v>
      </c>
      <c r="AH48" t="str">
        <f t="shared" si="12"/>
        <v>Y</v>
      </c>
      <c r="AI48" t="s">
        <v>446</v>
      </c>
      <c r="AJ48" t="str">
        <f t="shared" si="13"/>
        <v>Y</v>
      </c>
      <c r="AK48" t="s">
        <v>447</v>
      </c>
      <c r="AL48" t="str">
        <f t="shared" si="14"/>
        <v>Y</v>
      </c>
      <c r="AM48" t="s">
        <v>448</v>
      </c>
      <c r="AN48" t="str">
        <f t="shared" si="15"/>
        <v>N</v>
      </c>
      <c r="AO48" t="s">
        <v>449</v>
      </c>
      <c r="AP48" t="str">
        <f t="shared" si="16"/>
        <v>Y</v>
      </c>
      <c r="AQ48" t="s">
        <v>450</v>
      </c>
    </row>
    <row r="49" spans="1:43" x14ac:dyDescent="0.4">
      <c r="A49" s="7"/>
      <c r="B49" s="7"/>
      <c r="C49" s="7"/>
      <c r="D49" s="7"/>
      <c r="E49" s="7"/>
      <c r="F49" s="7"/>
      <c r="G49" s="37" t="s">
        <v>4345</v>
      </c>
      <c r="H49" s="5" t="str">
        <f t="shared" si="0"/>
        <v/>
      </c>
      <c r="I49" s="37" t="s">
        <v>4455</v>
      </c>
      <c r="J49" s="5" t="str">
        <f t="shared" si="1"/>
        <v/>
      </c>
      <c r="K49" s="37" t="s">
        <v>4595</v>
      </c>
      <c r="L49" s="5" t="str">
        <f t="shared" si="2"/>
        <v/>
      </c>
      <c r="M49" s="37" t="s">
        <v>4704</v>
      </c>
      <c r="N49" s="5" t="str">
        <f t="shared" si="3"/>
        <v/>
      </c>
      <c r="O49" s="37" t="s">
        <v>4813</v>
      </c>
      <c r="P49" s="5" t="str">
        <f t="shared" si="4"/>
        <v/>
      </c>
      <c r="Q49" s="37" t="s">
        <v>4951</v>
      </c>
      <c r="R49" s="5" t="str">
        <f t="shared" si="5"/>
        <v/>
      </c>
      <c r="S49" s="37" t="s">
        <v>5059</v>
      </c>
      <c r="T49" s="5" t="str">
        <f t="shared" si="6"/>
        <v>rat</v>
      </c>
      <c r="U49" s="37" t="s">
        <v>5162</v>
      </c>
      <c r="V49" s="5" t="str">
        <f t="shared" si="7"/>
        <v>sewer</v>
      </c>
      <c r="W49" s="37" t="s">
        <v>5308</v>
      </c>
      <c r="X49" s="5" t="str">
        <f t="shared" si="8"/>
        <v/>
      </c>
      <c r="Z49" t="str">
        <f t="shared" si="18"/>
        <v>N</v>
      </c>
      <c r="AA49" t="s">
        <v>451</v>
      </c>
      <c r="AB49" t="str">
        <f t="shared" si="9"/>
        <v>Y</v>
      </c>
      <c r="AC49" t="s">
        <v>452</v>
      </c>
      <c r="AD49" t="str">
        <f t="shared" si="10"/>
        <v>Y</v>
      </c>
      <c r="AE49" t="s">
        <v>453</v>
      </c>
      <c r="AF49" t="str">
        <f t="shared" si="11"/>
        <v>Y</v>
      </c>
      <c r="AG49" t="s">
        <v>454</v>
      </c>
      <c r="AH49" t="str">
        <f t="shared" si="12"/>
        <v>Y</v>
      </c>
      <c r="AI49" t="s">
        <v>455</v>
      </c>
      <c r="AJ49" t="str">
        <f t="shared" si="13"/>
        <v>Y</v>
      </c>
      <c r="AK49" t="s">
        <v>456</v>
      </c>
      <c r="AL49" t="str">
        <f t="shared" si="14"/>
        <v>N</v>
      </c>
      <c r="AM49" t="s">
        <v>457</v>
      </c>
      <c r="AN49" t="str">
        <f t="shared" si="15"/>
        <v>N</v>
      </c>
      <c r="AO49" t="s">
        <v>458</v>
      </c>
      <c r="AP49" t="str">
        <f t="shared" si="16"/>
        <v>Y</v>
      </c>
      <c r="AQ49" s="36" t="s">
        <v>5308</v>
      </c>
    </row>
    <row r="50" spans="1:43" x14ac:dyDescent="0.4">
      <c r="A50" s="7"/>
      <c r="B50" s="7"/>
      <c r="C50" s="7"/>
      <c r="D50" s="7"/>
      <c r="E50" s="7"/>
      <c r="F50" s="7"/>
      <c r="G50" s="37" t="s">
        <v>4346</v>
      </c>
      <c r="H50" s="5" t="str">
        <f t="shared" si="0"/>
        <v>atlas</v>
      </c>
      <c r="I50" s="37" t="s">
        <v>4456</v>
      </c>
      <c r="J50" s="5" t="str">
        <f t="shared" si="1"/>
        <v/>
      </c>
      <c r="K50" s="37" t="s">
        <v>4596</v>
      </c>
      <c r="L50" s="5" t="str">
        <f t="shared" si="2"/>
        <v/>
      </c>
      <c r="M50" s="37" t="s">
        <v>4705</v>
      </c>
      <c r="N50" s="5" t="str">
        <f t="shared" si="3"/>
        <v/>
      </c>
      <c r="O50" s="37" t="s">
        <v>4814</v>
      </c>
      <c r="P50" s="5" t="str">
        <f t="shared" si="4"/>
        <v/>
      </c>
      <c r="Q50" s="37" t="s">
        <v>4952</v>
      </c>
      <c r="R50" s="5" t="str">
        <f t="shared" si="5"/>
        <v/>
      </c>
      <c r="S50" s="37" t="s">
        <v>5060</v>
      </c>
      <c r="T50" s="5" t="str">
        <f t="shared" si="6"/>
        <v/>
      </c>
      <c r="U50" s="37" t="s">
        <v>5163</v>
      </c>
      <c r="V50" s="5" t="str">
        <f t="shared" si="7"/>
        <v/>
      </c>
      <c r="W50" s="37" t="s">
        <v>5309</v>
      </c>
      <c r="X50" s="5" t="str">
        <f t="shared" si="8"/>
        <v/>
      </c>
      <c r="Z50" t="str">
        <f t="shared" si="18"/>
        <v>N</v>
      </c>
      <c r="AA50" t="s">
        <v>459</v>
      </c>
      <c r="AB50" t="str">
        <f t="shared" si="9"/>
        <v>Y</v>
      </c>
      <c r="AC50" t="s">
        <v>460</v>
      </c>
      <c r="AD50" t="str">
        <f t="shared" si="10"/>
        <v>Y</v>
      </c>
      <c r="AE50" t="s">
        <v>461</v>
      </c>
      <c r="AF50" t="str">
        <f t="shared" si="11"/>
        <v>Y</v>
      </c>
      <c r="AG50" t="s">
        <v>462</v>
      </c>
      <c r="AH50" t="str">
        <f t="shared" si="12"/>
        <v>Y</v>
      </c>
      <c r="AI50" t="s">
        <v>463</v>
      </c>
      <c r="AJ50" t="str">
        <f t="shared" si="13"/>
        <v>Y</v>
      </c>
      <c r="AK50" t="s">
        <v>464</v>
      </c>
      <c r="AL50" t="str">
        <f t="shared" si="14"/>
        <v>Y</v>
      </c>
      <c r="AM50" t="s">
        <v>465</v>
      </c>
      <c r="AN50" t="str">
        <f t="shared" si="15"/>
        <v>Y</v>
      </c>
      <c r="AO50" t="s">
        <v>466</v>
      </c>
      <c r="AP50" t="str">
        <f t="shared" si="16"/>
        <v>Y</v>
      </c>
      <c r="AQ50" t="s">
        <v>467</v>
      </c>
    </row>
    <row r="51" spans="1:43" x14ac:dyDescent="0.4">
      <c r="A51" s="7"/>
      <c r="B51" s="7"/>
      <c r="C51" s="7"/>
      <c r="D51" s="7"/>
      <c r="E51" s="7"/>
      <c r="F51" s="7"/>
      <c r="G51" s="37" t="s">
        <v>4347</v>
      </c>
      <c r="H51" s="5" t="str">
        <f t="shared" si="0"/>
        <v/>
      </c>
      <c r="I51" s="37" t="s">
        <v>4457</v>
      </c>
      <c r="J51" s="5" t="str">
        <f t="shared" si="1"/>
        <v/>
      </c>
      <c r="K51" s="37" t="s">
        <v>4597</v>
      </c>
      <c r="L51" s="5" t="str">
        <f t="shared" si="2"/>
        <v/>
      </c>
      <c r="M51" s="37" t="s">
        <v>4706</v>
      </c>
      <c r="N51" s="5" t="str">
        <f t="shared" si="3"/>
        <v/>
      </c>
      <c r="O51" s="37" t="s">
        <v>4815</v>
      </c>
      <c r="P51" s="5" t="str">
        <f t="shared" si="4"/>
        <v/>
      </c>
      <c r="Q51" s="37" t="s">
        <v>4953</v>
      </c>
      <c r="R51" s="5" t="str">
        <f t="shared" si="5"/>
        <v>pal</v>
      </c>
      <c r="S51" s="37" t="s">
        <v>5061</v>
      </c>
      <c r="T51" s="5" t="str">
        <f t="shared" si="6"/>
        <v>rats</v>
      </c>
      <c r="U51" s="37" t="s">
        <v>5164</v>
      </c>
      <c r="V51" s="5" t="str">
        <f t="shared" si="7"/>
        <v/>
      </c>
      <c r="W51" s="37" t="s">
        <v>5310</v>
      </c>
      <c r="X51" s="5" t="str">
        <f t="shared" si="8"/>
        <v/>
      </c>
      <c r="Z51" t="str">
        <f t="shared" si="18"/>
        <v>N</v>
      </c>
      <c r="AA51" t="s">
        <v>468</v>
      </c>
      <c r="AB51" t="str">
        <f t="shared" si="9"/>
        <v>Y</v>
      </c>
      <c r="AC51" t="s">
        <v>469</v>
      </c>
      <c r="AD51" t="str">
        <f t="shared" si="10"/>
        <v>Y</v>
      </c>
      <c r="AE51" t="s">
        <v>470</v>
      </c>
      <c r="AF51" t="str">
        <f t="shared" si="11"/>
        <v>Y</v>
      </c>
      <c r="AG51" t="s">
        <v>471</v>
      </c>
      <c r="AH51" t="str">
        <f t="shared" si="12"/>
        <v>Y</v>
      </c>
      <c r="AI51" t="s">
        <v>472</v>
      </c>
      <c r="AJ51" t="str">
        <f t="shared" si="13"/>
        <v>N</v>
      </c>
      <c r="AK51" t="s">
        <v>473</v>
      </c>
      <c r="AL51" t="str">
        <f t="shared" si="14"/>
        <v>N</v>
      </c>
      <c r="AM51" t="s">
        <v>474</v>
      </c>
      <c r="AN51" t="str">
        <f t="shared" si="15"/>
        <v>Y</v>
      </c>
      <c r="AO51" t="s">
        <v>475</v>
      </c>
      <c r="AP51" t="str">
        <f t="shared" si="16"/>
        <v>Y</v>
      </c>
      <c r="AQ51" t="s">
        <v>476</v>
      </c>
    </row>
    <row r="52" spans="1:43" x14ac:dyDescent="0.4">
      <c r="A52" s="7"/>
      <c r="B52" s="7"/>
      <c r="C52" s="7"/>
      <c r="D52" s="7"/>
      <c r="E52" s="7"/>
      <c r="F52" s="7"/>
      <c r="G52" s="37" t="s">
        <v>4348</v>
      </c>
      <c r="H52" s="5" t="str">
        <f t="shared" si="0"/>
        <v>auditorium</v>
      </c>
      <c r="I52" s="37" t="s">
        <v>4458</v>
      </c>
      <c r="J52" s="5" t="str">
        <f t="shared" si="1"/>
        <v/>
      </c>
      <c r="K52" s="37" t="s">
        <v>4598</v>
      </c>
      <c r="L52" s="5" t="str">
        <f t="shared" si="2"/>
        <v/>
      </c>
      <c r="M52" s="37" t="s">
        <v>4707</v>
      </c>
      <c r="N52" s="5" t="str">
        <f t="shared" si="3"/>
        <v/>
      </c>
      <c r="O52" s="37" t="s">
        <v>4816</v>
      </c>
      <c r="P52" s="5" t="str">
        <f t="shared" si="4"/>
        <v/>
      </c>
      <c r="Q52" s="37" t="s">
        <v>4954</v>
      </c>
      <c r="R52" s="5" t="str">
        <f t="shared" si="5"/>
        <v/>
      </c>
      <c r="S52" s="37" t="s">
        <v>5062</v>
      </c>
      <c r="T52" s="5" t="str">
        <f t="shared" si="6"/>
        <v/>
      </c>
      <c r="U52" s="37" t="s">
        <v>5165</v>
      </c>
      <c r="V52" s="5" t="str">
        <f t="shared" si="7"/>
        <v/>
      </c>
      <c r="W52" s="37" t="s">
        <v>5311</v>
      </c>
      <c r="X52" s="5" t="str">
        <f t="shared" si="8"/>
        <v/>
      </c>
      <c r="Z52" t="str">
        <f t="shared" si="18"/>
        <v>N</v>
      </c>
      <c r="AA52" t="s">
        <v>477</v>
      </c>
      <c r="AB52" t="str">
        <f t="shared" si="9"/>
        <v>Y</v>
      </c>
      <c r="AC52" t="s">
        <v>478</v>
      </c>
      <c r="AD52" t="str">
        <f t="shared" si="10"/>
        <v>Y</v>
      </c>
      <c r="AE52" t="s">
        <v>479</v>
      </c>
      <c r="AF52" t="str">
        <f t="shared" si="11"/>
        <v>Y</v>
      </c>
      <c r="AG52" t="s">
        <v>480</v>
      </c>
      <c r="AH52" t="str">
        <f t="shared" si="12"/>
        <v>Y</v>
      </c>
      <c r="AI52" t="s">
        <v>481</v>
      </c>
      <c r="AJ52" t="str">
        <f t="shared" si="13"/>
        <v>Y</v>
      </c>
      <c r="AK52" t="s">
        <v>482</v>
      </c>
      <c r="AL52" t="str">
        <f t="shared" si="14"/>
        <v>Y</v>
      </c>
      <c r="AM52" t="s">
        <v>483</v>
      </c>
      <c r="AN52" t="str">
        <f t="shared" si="15"/>
        <v>Y</v>
      </c>
      <c r="AO52" t="s">
        <v>484</v>
      </c>
      <c r="AP52" t="str">
        <f t="shared" si="16"/>
        <v>Y</v>
      </c>
      <c r="AQ52" t="s">
        <v>485</v>
      </c>
    </row>
    <row r="53" spans="1:43" x14ac:dyDescent="0.4">
      <c r="A53" s="7"/>
      <c r="B53" s="7"/>
      <c r="C53" s="7"/>
      <c r="D53" s="7"/>
      <c r="E53" s="7"/>
      <c r="F53" s="7"/>
      <c r="G53" s="37" t="s">
        <v>4349</v>
      </c>
      <c r="H53" s="5" t="str">
        <f t="shared" si="0"/>
        <v/>
      </c>
      <c r="I53" s="37" t="s">
        <v>4459</v>
      </c>
      <c r="J53" s="5" t="str">
        <f t="shared" si="1"/>
        <v/>
      </c>
      <c r="K53" s="37" t="s">
        <v>4599</v>
      </c>
      <c r="L53" s="5" t="str">
        <f t="shared" si="2"/>
        <v/>
      </c>
      <c r="M53" s="37" t="s">
        <v>4708</v>
      </c>
      <c r="N53" s="5" t="str">
        <f t="shared" si="3"/>
        <v/>
      </c>
      <c r="O53" s="37" t="s">
        <v>4817</v>
      </c>
      <c r="P53" s="5" t="str">
        <f t="shared" si="4"/>
        <v/>
      </c>
      <c r="Q53" s="37" t="s">
        <v>4955</v>
      </c>
      <c r="R53" s="5" t="str">
        <f t="shared" si="5"/>
        <v/>
      </c>
      <c r="S53" s="37" t="s">
        <v>5063</v>
      </c>
      <c r="T53" s="5" t="str">
        <f t="shared" si="6"/>
        <v/>
      </c>
      <c r="U53" s="37" t="s">
        <v>5166</v>
      </c>
      <c r="V53" s="5" t="str">
        <f t="shared" si="7"/>
        <v/>
      </c>
      <c r="W53" s="37" t="s">
        <v>5312</v>
      </c>
      <c r="X53" s="5" t="str">
        <f t="shared" si="8"/>
        <v/>
      </c>
      <c r="Z53" t="str">
        <f t="shared" si="18"/>
        <v>N</v>
      </c>
      <c r="AA53" t="s">
        <v>486</v>
      </c>
      <c r="AB53" t="str">
        <f t="shared" si="9"/>
        <v>Y</v>
      </c>
      <c r="AC53" t="s">
        <v>487</v>
      </c>
      <c r="AD53" t="str">
        <f t="shared" si="10"/>
        <v>Y</v>
      </c>
      <c r="AE53" t="s">
        <v>488</v>
      </c>
      <c r="AF53" t="str">
        <f t="shared" si="11"/>
        <v>Y</v>
      </c>
      <c r="AG53" t="s">
        <v>489</v>
      </c>
      <c r="AH53" t="str">
        <f t="shared" si="12"/>
        <v>Y</v>
      </c>
      <c r="AI53" t="s">
        <v>490</v>
      </c>
      <c r="AJ53" t="str">
        <f t="shared" si="13"/>
        <v>Y</v>
      </c>
      <c r="AK53" t="s">
        <v>491</v>
      </c>
      <c r="AL53" t="str">
        <f t="shared" si="14"/>
        <v>Y</v>
      </c>
      <c r="AM53" t="s">
        <v>492</v>
      </c>
      <c r="AN53" t="str">
        <f t="shared" si="15"/>
        <v>Y</v>
      </c>
      <c r="AO53" t="s">
        <v>493</v>
      </c>
      <c r="AP53" t="str">
        <f t="shared" si="16"/>
        <v>Y</v>
      </c>
      <c r="AQ53" t="s">
        <v>494</v>
      </c>
    </row>
    <row r="54" spans="1:43" x14ac:dyDescent="0.4">
      <c r="A54" s="7"/>
      <c r="B54" s="7"/>
      <c r="C54" s="7"/>
      <c r="D54" s="7"/>
      <c r="E54" s="7"/>
      <c r="F54" s="7"/>
      <c r="G54" s="37" t="s">
        <v>4350</v>
      </c>
      <c r="H54" s="5" t="str">
        <f t="shared" si="0"/>
        <v/>
      </c>
      <c r="I54" s="37" t="s">
        <v>4460</v>
      </c>
      <c r="J54" s="5" t="str">
        <f t="shared" si="1"/>
        <v/>
      </c>
      <c r="K54" s="37" t="s">
        <v>4600</v>
      </c>
      <c r="L54" s="5" t="str">
        <f t="shared" si="2"/>
        <v/>
      </c>
      <c r="M54" s="37" t="s">
        <v>4709</v>
      </c>
      <c r="N54" s="5" t="str">
        <f t="shared" si="3"/>
        <v>gallery</v>
      </c>
      <c r="O54" s="37" t="s">
        <v>4818</v>
      </c>
      <c r="P54" s="5" t="str">
        <f t="shared" si="4"/>
        <v/>
      </c>
      <c r="Q54" s="37" t="s">
        <v>4956</v>
      </c>
      <c r="R54" s="5" t="str">
        <f t="shared" si="5"/>
        <v/>
      </c>
      <c r="S54" s="37" t="s">
        <v>5064</v>
      </c>
      <c r="T54" s="5" t="str">
        <f t="shared" si="6"/>
        <v/>
      </c>
      <c r="U54" s="37" t="s">
        <v>5167</v>
      </c>
      <c r="V54" s="5" t="str">
        <f t="shared" si="7"/>
        <v/>
      </c>
      <c r="W54" s="37" t="s">
        <v>5313</v>
      </c>
      <c r="X54" s="5" t="str">
        <f t="shared" si="8"/>
        <v/>
      </c>
      <c r="Z54" t="str">
        <f t="shared" si="18"/>
        <v>N</v>
      </c>
      <c r="AA54" t="s">
        <v>495</v>
      </c>
      <c r="AB54" t="str">
        <f t="shared" si="9"/>
        <v>Y</v>
      </c>
      <c r="AC54" t="s">
        <v>496</v>
      </c>
      <c r="AD54" t="str">
        <f t="shared" si="10"/>
        <v>Y</v>
      </c>
      <c r="AE54" t="s">
        <v>497</v>
      </c>
      <c r="AF54" t="str">
        <f t="shared" si="11"/>
        <v>N</v>
      </c>
      <c r="AG54" t="s">
        <v>498</v>
      </c>
      <c r="AH54" t="str">
        <f t="shared" si="12"/>
        <v>Y</v>
      </c>
      <c r="AI54" t="s">
        <v>499</v>
      </c>
      <c r="AJ54" t="str">
        <f t="shared" si="13"/>
        <v>Y</v>
      </c>
      <c r="AK54" t="s">
        <v>500</v>
      </c>
      <c r="AL54" t="str">
        <f t="shared" si="14"/>
        <v>Y</v>
      </c>
      <c r="AM54" t="s">
        <v>501</v>
      </c>
      <c r="AN54" t="str">
        <f t="shared" si="15"/>
        <v>Y</v>
      </c>
      <c r="AO54" t="s">
        <v>502</v>
      </c>
      <c r="AP54" t="str">
        <f t="shared" si="16"/>
        <v>Y</v>
      </c>
      <c r="AQ54" t="s">
        <v>503</v>
      </c>
    </row>
    <row r="55" spans="1:43" x14ac:dyDescent="0.4">
      <c r="A55" s="7"/>
      <c r="B55" s="7"/>
      <c r="C55" s="7"/>
      <c r="D55" s="7"/>
      <c r="E55" s="7"/>
      <c r="F55" s="7"/>
      <c r="G55" s="37" t="s">
        <v>4351</v>
      </c>
      <c r="H55" s="5" t="str">
        <f t="shared" si="0"/>
        <v/>
      </c>
      <c r="I55" s="37" t="s">
        <v>4461</v>
      </c>
      <c r="J55" s="5" t="str">
        <f t="shared" si="1"/>
        <v/>
      </c>
      <c r="K55" s="37" t="s">
        <v>4601</v>
      </c>
      <c r="L55" s="5" t="str">
        <f t="shared" si="2"/>
        <v/>
      </c>
      <c r="M55" s="37" t="s">
        <v>4710</v>
      </c>
      <c r="N55" s="5" t="str">
        <f t="shared" si="3"/>
        <v/>
      </c>
      <c r="O55" s="37" t="s">
        <v>4819</v>
      </c>
      <c r="P55" s="5" t="str">
        <f t="shared" si="4"/>
        <v/>
      </c>
      <c r="Q55" s="37" t="s">
        <v>4957</v>
      </c>
      <c r="R55" s="5" t="str">
        <f t="shared" si="5"/>
        <v>parcel</v>
      </c>
      <c r="S55" s="37" t="s">
        <v>5065</v>
      </c>
      <c r="T55" s="5" t="str">
        <f t="shared" si="6"/>
        <v/>
      </c>
      <c r="U55" s="37" t="s">
        <v>5168</v>
      </c>
      <c r="V55" s="5" t="str">
        <f t="shared" si="7"/>
        <v/>
      </c>
      <c r="W55" s="37" t="s">
        <v>5314</v>
      </c>
      <c r="X55" s="5" t="str">
        <f t="shared" si="8"/>
        <v/>
      </c>
      <c r="Z55" t="str">
        <f t="shared" si="18"/>
        <v>N</v>
      </c>
      <c r="AA55" t="s">
        <v>504</v>
      </c>
      <c r="AB55" t="str">
        <f t="shared" si="9"/>
        <v>Y</v>
      </c>
      <c r="AC55" t="s">
        <v>505</v>
      </c>
      <c r="AD55" t="str">
        <f t="shared" si="10"/>
        <v>Y</v>
      </c>
      <c r="AE55" t="s">
        <v>506</v>
      </c>
      <c r="AF55" t="str">
        <f t="shared" si="11"/>
        <v>Y</v>
      </c>
      <c r="AG55" t="s">
        <v>507</v>
      </c>
      <c r="AH55" t="str">
        <f t="shared" si="12"/>
        <v>Y</v>
      </c>
      <c r="AI55" t="s">
        <v>508</v>
      </c>
      <c r="AJ55" t="str">
        <f t="shared" si="13"/>
        <v>N</v>
      </c>
      <c r="AK55" t="s">
        <v>509</v>
      </c>
      <c r="AL55" t="str">
        <f t="shared" si="14"/>
        <v>Y</v>
      </c>
      <c r="AM55" t="s">
        <v>510</v>
      </c>
      <c r="AN55" t="str">
        <f t="shared" si="15"/>
        <v>Y</v>
      </c>
      <c r="AO55" t="s">
        <v>511</v>
      </c>
      <c r="AP55" t="str">
        <f t="shared" si="16"/>
        <v>Y</v>
      </c>
      <c r="AQ55" t="s">
        <v>512</v>
      </c>
    </row>
    <row r="56" spans="1:43" x14ac:dyDescent="0.4">
      <c r="A56" s="7"/>
      <c r="B56" s="7"/>
      <c r="C56" s="7"/>
      <c r="D56" s="7"/>
      <c r="E56" s="7"/>
      <c r="F56" s="7"/>
      <c r="G56" s="37" t="s">
        <v>4352</v>
      </c>
      <c r="H56" s="5" t="str">
        <f t="shared" si="0"/>
        <v/>
      </c>
      <c r="I56" s="37" t="s">
        <v>4462</v>
      </c>
      <c r="J56" s="5" t="str">
        <f t="shared" si="1"/>
        <v/>
      </c>
      <c r="K56" s="37" t="s">
        <v>4602</v>
      </c>
      <c r="L56" s="5" t="str">
        <f t="shared" si="2"/>
        <v/>
      </c>
      <c r="M56" s="37" t="s">
        <v>4711</v>
      </c>
      <c r="N56" s="5" t="str">
        <f t="shared" si="3"/>
        <v/>
      </c>
      <c r="O56" s="37" t="s">
        <v>4820</v>
      </c>
      <c r="P56" s="5" t="str">
        <f t="shared" si="4"/>
        <v/>
      </c>
      <c r="Q56" s="37" t="s">
        <v>4958</v>
      </c>
      <c r="R56" s="5" t="str">
        <f t="shared" si="5"/>
        <v/>
      </c>
      <c r="S56" s="37" t="s">
        <v>5066</v>
      </c>
      <c r="T56" s="5" t="str">
        <f t="shared" si="6"/>
        <v/>
      </c>
      <c r="U56" s="37" t="s">
        <v>5169</v>
      </c>
      <c r="V56" s="5" t="str">
        <f t="shared" si="7"/>
        <v/>
      </c>
      <c r="W56" s="37" t="s">
        <v>5315</v>
      </c>
      <c r="X56" s="5" t="str">
        <f t="shared" si="8"/>
        <v/>
      </c>
      <c r="Z56" t="str">
        <f t="shared" si="18"/>
        <v>N</v>
      </c>
      <c r="AA56" t="s">
        <v>513</v>
      </c>
      <c r="AB56" t="str">
        <f t="shared" si="9"/>
        <v>Y</v>
      </c>
      <c r="AC56" t="s">
        <v>514</v>
      </c>
      <c r="AD56" t="str">
        <f t="shared" si="10"/>
        <v>Y</v>
      </c>
      <c r="AE56" t="s">
        <v>515</v>
      </c>
      <c r="AF56" t="str">
        <f t="shared" si="11"/>
        <v>Y</v>
      </c>
      <c r="AG56" t="s">
        <v>516</v>
      </c>
      <c r="AH56" t="str">
        <f t="shared" si="12"/>
        <v>Y</v>
      </c>
      <c r="AI56" t="s">
        <v>517</v>
      </c>
      <c r="AJ56" t="str">
        <f t="shared" si="13"/>
        <v>Y</v>
      </c>
      <c r="AK56" t="s">
        <v>518</v>
      </c>
      <c r="AL56" t="str">
        <f t="shared" si="14"/>
        <v>Y</v>
      </c>
      <c r="AM56" t="s">
        <v>519</v>
      </c>
      <c r="AN56" t="str">
        <f t="shared" si="15"/>
        <v>Y</v>
      </c>
      <c r="AO56" t="s">
        <v>520</v>
      </c>
      <c r="AP56" t="str">
        <f t="shared" si="16"/>
        <v>Y</v>
      </c>
      <c r="AQ56" t="s">
        <v>521</v>
      </c>
    </row>
    <row r="57" spans="1:43" x14ac:dyDescent="0.4">
      <c r="A57" s="7"/>
      <c r="B57" s="7"/>
      <c r="C57" s="7"/>
      <c r="D57" s="7"/>
      <c r="E57" s="7"/>
      <c r="F57" s="7"/>
      <c r="G57" s="37" t="s">
        <v>4353</v>
      </c>
      <c r="H57" s="5" t="str">
        <f t="shared" si="0"/>
        <v/>
      </c>
      <c r="I57" s="37" t="s">
        <v>4463</v>
      </c>
      <c r="J57" s="5" t="str">
        <f t="shared" si="1"/>
        <v/>
      </c>
      <c r="K57" s="37" t="s">
        <v>4603</v>
      </c>
      <c r="L57" s="5" t="str">
        <f t="shared" si="2"/>
        <v/>
      </c>
      <c r="M57" s="37" t="s">
        <v>4712</v>
      </c>
      <c r="N57" s="5" t="str">
        <f t="shared" si="3"/>
        <v/>
      </c>
      <c r="O57" s="37" t="s">
        <v>4821</v>
      </c>
      <c r="P57" s="5" t="str">
        <f t="shared" si="4"/>
        <v/>
      </c>
      <c r="Q57" s="37" t="s">
        <v>4959</v>
      </c>
      <c r="R57" s="5" t="str">
        <f t="shared" si="5"/>
        <v/>
      </c>
      <c r="S57" s="37" t="s">
        <v>5067</v>
      </c>
      <c r="T57" s="5" t="str">
        <f t="shared" si="6"/>
        <v/>
      </c>
      <c r="U57" s="37" t="s">
        <v>5170</v>
      </c>
      <c r="V57" s="5" t="str">
        <f t="shared" si="7"/>
        <v/>
      </c>
      <c r="W57" s="37" t="s">
        <v>5316</v>
      </c>
      <c r="X57" s="5" t="str">
        <f t="shared" si="8"/>
        <v/>
      </c>
      <c r="Z57" t="str">
        <f t="shared" si="18"/>
        <v>N</v>
      </c>
      <c r="AA57" t="s">
        <v>522</v>
      </c>
      <c r="AB57" t="str">
        <f t="shared" si="9"/>
        <v>Y</v>
      </c>
      <c r="AC57" t="s">
        <v>523</v>
      </c>
      <c r="AD57" t="str">
        <f t="shared" si="10"/>
        <v>Y</v>
      </c>
      <c r="AE57" t="s">
        <v>524</v>
      </c>
      <c r="AF57" t="str">
        <f t="shared" si="11"/>
        <v>Y</v>
      </c>
      <c r="AG57" t="s">
        <v>525</v>
      </c>
      <c r="AH57" t="str">
        <f t="shared" si="12"/>
        <v>Y</v>
      </c>
      <c r="AI57" t="s">
        <v>526</v>
      </c>
      <c r="AJ57" t="str">
        <f t="shared" si="13"/>
        <v>Y</v>
      </c>
      <c r="AK57" t="s">
        <v>527</v>
      </c>
      <c r="AL57" t="str">
        <f t="shared" si="14"/>
        <v>Y</v>
      </c>
      <c r="AM57" t="s">
        <v>528</v>
      </c>
      <c r="AN57" t="str">
        <f t="shared" si="15"/>
        <v>Y</v>
      </c>
      <c r="AO57" t="s">
        <v>529</v>
      </c>
      <c r="AP57" t="str">
        <f t="shared" si="16"/>
        <v>Y</v>
      </c>
      <c r="AQ57" t="s">
        <v>530</v>
      </c>
    </row>
    <row r="58" spans="1:43" x14ac:dyDescent="0.4">
      <c r="A58" s="7"/>
      <c r="B58" s="7"/>
      <c r="C58" s="7"/>
      <c r="D58" s="7"/>
      <c r="E58" s="7"/>
      <c r="F58" s="7"/>
      <c r="G58" s="37" t="s">
        <v>4354</v>
      </c>
      <c r="H58" s="5" t="str">
        <f t="shared" si="0"/>
        <v/>
      </c>
      <c r="I58" s="37" t="s">
        <v>4464</v>
      </c>
      <c r="J58" s="5" t="str">
        <f t="shared" si="1"/>
        <v/>
      </c>
      <c r="K58" s="37" t="s">
        <v>4604</v>
      </c>
      <c r="L58" s="5" t="str">
        <f t="shared" si="2"/>
        <v/>
      </c>
      <c r="M58" s="37" t="s">
        <v>4713</v>
      </c>
      <c r="N58" s="5" t="str">
        <f t="shared" si="3"/>
        <v/>
      </c>
      <c r="O58" s="37" t="s">
        <v>4822</v>
      </c>
      <c r="P58" s="5" t="str">
        <f t="shared" si="4"/>
        <v/>
      </c>
      <c r="Q58" s="37" t="s">
        <v>4960</v>
      </c>
      <c r="R58" s="5" t="str">
        <f t="shared" si="5"/>
        <v/>
      </c>
      <c r="S58" s="37" t="s">
        <v>5068</v>
      </c>
      <c r="T58" s="5" t="str">
        <f t="shared" si="6"/>
        <v/>
      </c>
      <c r="U58" s="37" t="s">
        <v>5171</v>
      </c>
      <c r="V58" s="5" t="str">
        <f t="shared" si="7"/>
        <v/>
      </c>
      <c r="W58" s="37" t="s">
        <v>5317</v>
      </c>
      <c r="X58" s="5" t="str">
        <f t="shared" si="8"/>
        <v/>
      </c>
      <c r="Z58" t="str">
        <f t="shared" si="18"/>
        <v>N</v>
      </c>
      <c r="AA58" t="s">
        <v>531</v>
      </c>
      <c r="AB58" t="str">
        <f t="shared" si="9"/>
        <v>Y</v>
      </c>
      <c r="AC58" t="s">
        <v>532</v>
      </c>
      <c r="AD58" t="str">
        <f t="shared" si="10"/>
        <v>Y</v>
      </c>
      <c r="AE58" t="s">
        <v>533</v>
      </c>
      <c r="AF58" t="str">
        <f t="shared" si="11"/>
        <v>Y</v>
      </c>
      <c r="AG58" t="s">
        <v>534</v>
      </c>
      <c r="AH58" t="str">
        <f t="shared" si="12"/>
        <v>Y</v>
      </c>
      <c r="AI58" t="s">
        <v>535</v>
      </c>
      <c r="AJ58" t="str">
        <f t="shared" si="13"/>
        <v>Y</v>
      </c>
      <c r="AK58" t="s">
        <v>536</v>
      </c>
      <c r="AL58" t="str">
        <f t="shared" si="14"/>
        <v>Y</v>
      </c>
      <c r="AM58" t="s">
        <v>537</v>
      </c>
      <c r="AN58" t="str">
        <f t="shared" si="15"/>
        <v>Y</v>
      </c>
      <c r="AO58" t="s">
        <v>538</v>
      </c>
      <c r="AP58" t="str">
        <f t="shared" si="16"/>
        <v>Y</v>
      </c>
      <c r="AQ58" t="s">
        <v>539</v>
      </c>
    </row>
    <row r="59" spans="1:43" x14ac:dyDescent="0.4">
      <c r="A59" s="7"/>
      <c r="B59" s="7"/>
      <c r="C59" s="7"/>
      <c r="D59" s="7"/>
      <c r="E59" s="7"/>
      <c r="F59" s="7"/>
      <c r="G59" s="37" t="s">
        <v>4355</v>
      </c>
      <c r="H59" s="5" t="str">
        <f t="shared" si="0"/>
        <v/>
      </c>
      <c r="I59" s="37" t="s">
        <v>4465</v>
      </c>
      <c r="J59" s="5" t="str">
        <f t="shared" si="1"/>
        <v>cleaning</v>
      </c>
      <c r="K59" s="37" t="s">
        <v>4605</v>
      </c>
      <c r="L59" s="5" t="str">
        <f t="shared" si="2"/>
        <v/>
      </c>
      <c r="M59" s="37" t="s">
        <v>4404</v>
      </c>
      <c r="N59" s="5" t="str">
        <f t="shared" si="3"/>
        <v>gasoline</v>
      </c>
      <c r="O59" s="37" t="s">
        <v>4823</v>
      </c>
      <c r="P59" s="5" t="str">
        <f t="shared" si="4"/>
        <v/>
      </c>
      <c r="Q59" s="37" t="s">
        <v>4961</v>
      </c>
      <c r="R59" s="5" t="str">
        <f t="shared" si="5"/>
        <v/>
      </c>
      <c r="S59" s="37" t="s">
        <v>5069</v>
      </c>
      <c r="T59" s="5" t="str">
        <f t="shared" si="6"/>
        <v/>
      </c>
      <c r="U59" s="37" t="s">
        <v>4404</v>
      </c>
      <c r="V59" s="5" t="str">
        <f t="shared" si="7"/>
        <v>shoplifters</v>
      </c>
      <c r="W59" s="37" t="s">
        <v>5318</v>
      </c>
      <c r="X59" s="5" t="str">
        <f t="shared" si="8"/>
        <v>tragedy</v>
      </c>
      <c r="Z59" t="str">
        <f t="shared" si="18"/>
        <v>N</v>
      </c>
      <c r="AA59" t="s">
        <v>540</v>
      </c>
      <c r="AB59" t="str">
        <f t="shared" si="9"/>
        <v>N</v>
      </c>
      <c r="AC59" t="s">
        <v>541</v>
      </c>
      <c r="AD59" t="str">
        <f t="shared" si="10"/>
        <v>Y</v>
      </c>
      <c r="AE59" t="s">
        <v>542</v>
      </c>
      <c r="AF59" t="str">
        <f t="shared" si="11"/>
        <v>N</v>
      </c>
      <c r="AG59" t="s">
        <v>543</v>
      </c>
      <c r="AH59" t="str">
        <f t="shared" si="12"/>
        <v>Y</v>
      </c>
      <c r="AI59" t="s">
        <v>544</v>
      </c>
      <c r="AJ59" t="str">
        <f t="shared" si="13"/>
        <v>Y</v>
      </c>
      <c r="AK59" t="s">
        <v>545</v>
      </c>
      <c r="AL59" t="str">
        <f t="shared" si="14"/>
        <v>Y</v>
      </c>
      <c r="AM59" t="s">
        <v>546</v>
      </c>
      <c r="AN59" t="str">
        <f t="shared" si="15"/>
        <v>N</v>
      </c>
      <c r="AO59" t="s">
        <v>547</v>
      </c>
      <c r="AP59" t="str">
        <f t="shared" si="16"/>
        <v>N</v>
      </c>
      <c r="AQ59" t="s">
        <v>548</v>
      </c>
    </row>
    <row r="60" spans="1:43" x14ac:dyDescent="0.4">
      <c r="A60" s="7"/>
      <c r="B60" s="7"/>
      <c r="C60" s="7"/>
      <c r="D60" s="7"/>
      <c r="E60" s="7"/>
      <c r="F60" s="7"/>
      <c r="G60" s="37" t="s">
        <v>4356</v>
      </c>
      <c r="H60" s="5" t="str">
        <f t="shared" si="0"/>
        <v/>
      </c>
      <c r="I60" s="37" t="s">
        <v>4466</v>
      </c>
      <c r="J60" s="5" t="str">
        <f t="shared" si="1"/>
        <v/>
      </c>
      <c r="K60" s="37" t="s">
        <v>4606</v>
      </c>
      <c r="L60" s="5" t="str">
        <f t="shared" si="2"/>
        <v/>
      </c>
      <c r="M60" s="37" t="s">
        <v>4714</v>
      </c>
      <c r="N60" s="5" t="str">
        <f t="shared" si="3"/>
        <v/>
      </c>
      <c r="O60" s="37" t="s">
        <v>4824</v>
      </c>
      <c r="P60" s="5" t="str">
        <f t="shared" si="4"/>
        <v/>
      </c>
      <c r="Q60" s="37" t="s">
        <v>4962</v>
      </c>
      <c r="R60" s="5" t="str">
        <f t="shared" si="5"/>
        <v/>
      </c>
      <c r="S60" s="37" t="s">
        <v>5070</v>
      </c>
      <c r="T60" s="5" t="str">
        <f t="shared" si="6"/>
        <v/>
      </c>
      <c r="U60" s="37" t="s">
        <v>5172</v>
      </c>
      <c r="V60" s="5" t="str">
        <f t="shared" si="7"/>
        <v/>
      </c>
      <c r="W60" s="37" t="s">
        <v>5319</v>
      </c>
      <c r="X60" s="5" t="str">
        <f t="shared" si="8"/>
        <v>trailer</v>
      </c>
      <c r="Z60" t="str">
        <f t="shared" si="18"/>
        <v>N</v>
      </c>
      <c r="AA60" t="s">
        <v>549</v>
      </c>
      <c r="AB60" t="str">
        <f t="shared" si="9"/>
        <v>Y</v>
      </c>
      <c r="AC60" t="s">
        <v>550</v>
      </c>
      <c r="AD60" t="str">
        <f t="shared" si="10"/>
        <v>Y</v>
      </c>
      <c r="AE60" t="s">
        <v>551</v>
      </c>
      <c r="AF60" t="str">
        <f t="shared" si="11"/>
        <v>Y</v>
      </c>
      <c r="AG60" t="s">
        <v>552</v>
      </c>
      <c r="AH60" t="str">
        <f t="shared" si="12"/>
        <v>Y</v>
      </c>
      <c r="AI60" t="s">
        <v>553</v>
      </c>
      <c r="AJ60" t="str">
        <f t="shared" si="13"/>
        <v>Y</v>
      </c>
      <c r="AK60" t="s">
        <v>554</v>
      </c>
      <c r="AL60" t="str">
        <f t="shared" si="14"/>
        <v>Y</v>
      </c>
      <c r="AM60" t="s">
        <v>555</v>
      </c>
      <c r="AN60" t="str">
        <f t="shared" si="15"/>
        <v>Y</v>
      </c>
      <c r="AO60" t="s">
        <v>556</v>
      </c>
      <c r="AP60" t="str">
        <f t="shared" si="16"/>
        <v>N</v>
      </c>
      <c r="AQ60" t="s">
        <v>557</v>
      </c>
    </row>
    <row r="61" spans="1:43" x14ac:dyDescent="0.4">
      <c r="A61" s="7"/>
      <c r="B61" s="7"/>
      <c r="C61" s="7"/>
      <c r="D61" s="7"/>
      <c r="E61" s="7"/>
      <c r="F61" s="7"/>
      <c r="G61" s="37" t="s">
        <v>4357</v>
      </c>
      <c r="H61" s="5" t="str">
        <f t="shared" si="0"/>
        <v/>
      </c>
      <c r="I61" s="37" t="s">
        <v>4467</v>
      </c>
      <c r="J61" s="5" t="str">
        <f t="shared" si="1"/>
        <v/>
      </c>
      <c r="K61" s="37" t="s">
        <v>4607</v>
      </c>
      <c r="L61" s="5" t="str">
        <f t="shared" si="2"/>
        <v/>
      </c>
      <c r="M61" s="37" t="s">
        <v>4715</v>
      </c>
      <c r="N61" s="5" t="str">
        <f t="shared" si="3"/>
        <v/>
      </c>
      <c r="O61" s="37" t="s">
        <v>4825</v>
      </c>
      <c r="P61" s="5" t="str">
        <f t="shared" si="4"/>
        <v/>
      </c>
      <c r="Q61" s="37" t="s">
        <v>4963</v>
      </c>
      <c r="R61" s="5" t="str">
        <f t="shared" si="5"/>
        <v/>
      </c>
      <c r="S61" s="37" t="s">
        <v>5071</v>
      </c>
      <c r="T61" s="5" t="str">
        <f t="shared" si="6"/>
        <v/>
      </c>
      <c r="U61" s="37" t="s">
        <v>5173</v>
      </c>
      <c r="V61" s="5" t="str">
        <f t="shared" si="7"/>
        <v/>
      </c>
      <c r="W61" s="37" t="s">
        <v>5320</v>
      </c>
      <c r="X61" s="5" t="str">
        <f t="shared" si="8"/>
        <v/>
      </c>
      <c r="Z61" t="str">
        <f t="shared" si="18"/>
        <v>N</v>
      </c>
      <c r="AA61" t="s">
        <v>558</v>
      </c>
      <c r="AB61" t="str">
        <f t="shared" si="9"/>
        <v>Y</v>
      </c>
      <c r="AC61" t="s">
        <v>559</v>
      </c>
      <c r="AD61" t="str">
        <f t="shared" si="10"/>
        <v>Y</v>
      </c>
      <c r="AE61" t="s">
        <v>560</v>
      </c>
      <c r="AF61" t="str">
        <f t="shared" si="11"/>
        <v>Y</v>
      </c>
      <c r="AG61" t="s">
        <v>561</v>
      </c>
      <c r="AH61" t="str">
        <f t="shared" si="12"/>
        <v>Y</v>
      </c>
      <c r="AI61" t="s">
        <v>562</v>
      </c>
      <c r="AJ61" t="str">
        <f t="shared" si="13"/>
        <v>Y</v>
      </c>
      <c r="AK61" t="s">
        <v>563</v>
      </c>
      <c r="AL61" t="str">
        <f t="shared" si="14"/>
        <v>Y</v>
      </c>
      <c r="AM61" t="s">
        <v>564</v>
      </c>
      <c r="AN61" t="str">
        <f t="shared" si="15"/>
        <v>Y</v>
      </c>
      <c r="AO61" t="s">
        <v>565</v>
      </c>
      <c r="AP61" t="str">
        <f t="shared" si="16"/>
        <v>Y</v>
      </c>
      <c r="AQ61" t="s">
        <v>566</v>
      </c>
    </row>
    <row r="62" spans="1:43" x14ac:dyDescent="0.4">
      <c r="A62" s="7"/>
      <c r="B62" s="7"/>
      <c r="C62" s="7"/>
      <c r="D62" s="7"/>
      <c r="E62" s="7"/>
      <c r="F62" s="7"/>
      <c r="G62" s="37" t="s">
        <v>4358</v>
      </c>
      <c r="H62" s="5" t="str">
        <f t="shared" si="0"/>
        <v/>
      </c>
      <c r="I62" s="37" t="s">
        <v>4468</v>
      </c>
      <c r="J62" s="5" t="str">
        <f t="shared" si="1"/>
        <v/>
      </c>
      <c r="K62" s="37" t="s">
        <v>4608</v>
      </c>
      <c r="L62" s="5" t="str">
        <f t="shared" si="2"/>
        <v/>
      </c>
      <c r="M62" s="37" t="s">
        <v>4716</v>
      </c>
      <c r="N62" s="5" t="str">
        <f t="shared" si="3"/>
        <v/>
      </c>
      <c r="O62" s="37" t="s">
        <v>4826</v>
      </c>
      <c r="P62" s="5" t="str">
        <f t="shared" si="4"/>
        <v/>
      </c>
      <c r="Q62" s="37" t="s">
        <v>4964</v>
      </c>
      <c r="R62" s="5" t="str">
        <f t="shared" si="5"/>
        <v>pastime</v>
      </c>
      <c r="S62" s="37" t="s">
        <v>5072</v>
      </c>
      <c r="T62" s="5" t="str">
        <f t="shared" si="6"/>
        <v/>
      </c>
      <c r="U62" s="37" t="s">
        <v>5174</v>
      </c>
      <c r="V62" s="5" t="str">
        <f t="shared" si="7"/>
        <v/>
      </c>
      <c r="W62" s="37" t="s">
        <v>5321</v>
      </c>
      <c r="X62" s="5" t="str">
        <f t="shared" si="8"/>
        <v/>
      </c>
      <c r="Z62" t="str">
        <f t="shared" si="18"/>
        <v>N</v>
      </c>
      <c r="AA62" t="s">
        <v>567</v>
      </c>
      <c r="AB62" t="str">
        <f t="shared" si="9"/>
        <v>Y</v>
      </c>
      <c r="AC62" t="s">
        <v>568</v>
      </c>
      <c r="AD62" t="str">
        <f t="shared" si="10"/>
        <v>Y</v>
      </c>
      <c r="AE62" t="s">
        <v>569</v>
      </c>
      <c r="AF62" t="str">
        <f t="shared" si="11"/>
        <v>Y</v>
      </c>
      <c r="AG62" t="s">
        <v>570</v>
      </c>
      <c r="AH62" t="str">
        <f t="shared" si="12"/>
        <v>Y</v>
      </c>
      <c r="AI62" t="s">
        <v>571</v>
      </c>
      <c r="AJ62" t="str">
        <f t="shared" si="13"/>
        <v>N</v>
      </c>
      <c r="AK62" t="s">
        <v>572</v>
      </c>
      <c r="AL62" t="str">
        <f t="shared" si="14"/>
        <v>Y</v>
      </c>
      <c r="AM62" t="s">
        <v>573</v>
      </c>
      <c r="AN62" t="str">
        <f t="shared" si="15"/>
        <v>Y</v>
      </c>
      <c r="AO62" t="s">
        <v>574</v>
      </c>
      <c r="AP62" t="str">
        <f t="shared" si="16"/>
        <v>Y</v>
      </c>
      <c r="AQ62" t="s">
        <v>575</v>
      </c>
    </row>
    <row r="63" spans="1:43" x14ac:dyDescent="0.4">
      <c r="A63" s="7"/>
      <c r="B63" s="7"/>
      <c r="C63" s="7"/>
      <c r="D63" s="7"/>
      <c r="E63" s="7"/>
      <c r="F63" s="7"/>
      <c r="G63" s="37" t="s">
        <v>4359</v>
      </c>
      <c r="H63" s="5" t="str">
        <f t="shared" si="0"/>
        <v/>
      </c>
      <c r="I63" s="37" t="s">
        <v>4469</v>
      </c>
      <c r="J63" s="5" t="str">
        <f t="shared" si="1"/>
        <v/>
      </c>
      <c r="K63" s="37" t="s">
        <v>4609</v>
      </c>
      <c r="L63" s="5" t="str">
        <f t="shared" si="2"/>
        <v/>
      </c>
      <c r="M63" s="37" t="s">
        <v>4717</v>
      </c>
      <c r="N63" s="5" t="str">
        <f t="shared" si="3"/>
        <v/>
      </c>
      <c r="O63" s="37" t="s">
        <v>4827</v>
      </c>
      <c r="P63" s="5" t="str">
        <f t="shared" si="4"/>
        <v>lamp</v>
      </c>
      <c r="Q63" s="37" t="s">
        <v>4965</v>
      </c>
      <c r="R63" s="5" t="str">
        <f t="shared" si="5"/>
        <v/>
      </c>
      <c r="S63" s="37" t="s">
        <v>5073</v>
      </c>
      <c r="T63" s="5" t="str">
        <f t="shared" si="6"/>
        <v/>
      </c>
      <c r="U63" s="37" t="s">
        <v>5175</v>
      </c>
      <c r="V63" s="5" t="str">
        <f t="shared" si="7"/>
        <v/>
      </c>
      <c r="W63" s="37" t="s">
        <v>5322</v>
      </c>
      <c r="X63" s="5" t="str">
        <f t="shared" si="8"/>
        <v/>
      </c>
      <c r="Z63" t="str">
        <f t="shared" si="18"/>
        <v>N</v>
      </c>
      <c r="AA63" t="s">
        <v>576</v>
      </c>
      <c r="AB63" t="str">
        <f t="shared" si="9"/>
        <v>Y</v>
      </c>
      <c r="AC63" t="s">
        <v>577</v>
      </c>
      <c r="AD63" t="str">
        <f t="shared" si="10"/>
        <v>Y</v>
      </c>
      <c r="AE63" t="s">
        <v>578</v>
      </c>
      <c r="AF63" t="str">
        <f t="shared" si="11"/>
        <v>Y</v>
      </c>
      <c r="AG63" t="s">
        <v>579</v>
      </c>
      <c r="AH63" t="str">
        <f t="shared" si="12"/>
        <v>N</v>
      </c>
      <c r="AI63" t="s">
        <v>580</v>
      </c>
      <c r="AJ63" t="str">
        <f t="shared" si="13"/>
        <v>Y</v>
      </c>
      <c r="AK63" t="s">
        <v>581</v>
      </c>
      <c r="AL63" t="str">
        <f t="shared" si="14"/>
        <v>Y</v>
      </c>
      <c r="AM63" t="s">
        <v>582</v>
      </c>
      <c r="AN63" t="str">
        <f t="shared" si="15"/>
        <v>Y</v>
      </c>
      <c r="AO63" t="s">
        <v>583</v>
      </c>
      <c r="AP63" t="str">
        <f t="shared" si="16"/>
        <v>Y</v>
      </c>
      <c r="AQ63" t="s">
        <v>584</v>
      </c>
    </row>
    <row r="64" spans="1:43" x14ac:dyDescent="0.4">
      <c r="A64" s="7"/>
      <c r="B64" s="7"/>
      <c r="C64" s="7"/>
      <c r="D64" s="7"/>
      <c r="E64" s="7"/>
      <c r="F64" s="7"/>
      <c r="G64" s="37" t="s">
        <v>4360</v>
      </c>
      <c r="H64" s="5" t="str">
        <f t="shared" si="0"/>
        <v/>
      </c>
      <c r="I64" s="37" t="s">
        <v>4470</v>
      </c>
      <c r="J64" s="5" t="str">
        <f t="shared" si="1"/>
        <v/>
      </c>
      <c r="K64" s="37" t="s">
        <v>4610</v>
      </c>
      <c r="L64" s="5" t="str">
        <f t="shared" si="2"/>
        <v/>
      </c>
      <c r="M64" s="37" t="s">
        <v>4718</v>
      </c>
      <c r="N64" s="5" t="str">
        <f t="shared" si="3"/>
        <v/>
      </c>
      <c r="O64" s="37" t="s">
        <v>4828</v>
      </c>
      <c r="P64" s="5" t="str">
        <f t="shared" si="4"/>
        <v/>
      </c>
      <c r="Q64" s="37" t="s">
        <v>4966</v>
      </c>
      <c r="R64" s="5" t="str">
        <f t="shared" si="5"/>
        <v/>
      </c>
      <c r="S64" s="37" t="s">
        <v>5074</v>
      </c>
      <c r="T64" s="5" t="str">
        <f t="shared" si="6"/>
        <v/>
      </c>
      <c r="U64" s="37" t="s">
        <v>5176</v>
      </c>
      <c r="V64" s="5" t="str">
        <f t="shared" si="7"/>
        <v>sight</v>
      </c>
      <c r="W64" s="37" t="s">
        <v>5323</v>
      </c>
      <c r="X64" s="5" t="str">
        <f t="shared" si="8"/>
        <v/>
      </c>
      <c r="Z64" t="str">
        <f t="shared" si="18"/>
        <v>N</v>
      </c>
      <c r="AA64" t="s">
        <v>585</v>
      </c>
      <c r="AB64" t="str">
        <f t="shared" si="9"/>
        <v>Y</v>
      </c>
      <c r="AC64" t="s">
        <v>586</v>
      </c>
      <c r="AD64" t="str">
        <f t="shared" si="10"/>
        <v>Y</v>
      </c>
      <c r="AE64" t="s">
        <v>587</v>
      </c>
      <c r="AF64" t="str">
        <f t="shared" si="11"/>
        <v>Y</v>
      </c>
      <c r="AG64" t="s">
        <v>588</v>
      </c>
      <c r="AH64" t="str">
        <f t="shared" si="12"/>
        <v>Y</v>
      </c>
      <c r="AI64" t="s">
        <v>589</v>
      </c>
      <c r="AJ64" t="str">
        <f t="shared" si="13"/>
        <v>Y</v>
      </c>
      <c r="AK64" t="s">
        <v>590</v>
      </c>
      <c r="AL64" t="str">
        <f t="shared" si="14"/>
        <v>Y</v>
      </c>
      <c r="AM64" t="s">
        <v>591</v>
      </c>
      <c r="AN64" t="str">
        <f t="shared" si="15"/>
        <v>N</v>
      </c>
      <c r="AO64" t="s">
        <v>592</v>
      </c>
      <c r="AP64" t="str">
        <f t="shared" si="16"/>
        <v>Y</v>
      </c>
      <c r="AQ64" t="s">
        <v>593</v>
      </c>
    </row>
    <row r="65" spans="1:43" x14ac:dyDescent="0.4">
      <c r="A65" s="7"/>
      <c r="B65" s="7"/>
      <c r="C65" s="7"/>
      <c r="D65" s="7"/>
      <c r="E65" s="7"/>
      <c r="F65" s="7"/>
      <c r="G65" s="37" t="s">
        <v>4361</v>
      </c>
      <c r="H65" s="5" t="str">
        <f t="shared" si="0"/>
        <v/>
      </c>
      <c r="I65" s="37" t="s">
        <v>4471</v>
      </c>
      <c r="J65" s="5" t="str">
        <f t="shared" si="1"/>
        <v>cloth</v>
      </c>
      <c r="K65" s="37" t="s">
        <v>4611</v>
      </c>
      <c r="L65" s="5" t="str">
        <f t="shared" si="2"/>
        <v/>
      </c>
      <c r="M65" s="37" t="s">
        <v>4719</v>
      </c>
      <c r="N65" s="5" t="str">
        <f t="shared" si="3"/>
        <v>gold</v>
      </c>
      <c r="O65" s="37" t="s">
        <v>4829</v>
      </c>
      <c r="P65" s="5" t="str">
        <f t="shared" si="4"/>
        <v/>
      </c>
      <c r="Q65" s="37" t="s">
        <v>4967</v>
      </c>
      <c r="R65" s="5" t="str">
        <f t="shared" si="5"/>
        <v/>
      </c>
      <c r="S65" s="37" t="s">
        <v>5075</v>
      </c>
      <c r="T65" s="5" t="str">
        <f t="shared" si="6"/>
        <v>reflectance</v>
      </c>
      <c r="U65" s="37" t="s">
        <v>5177</v>
      </c>
      <c r="V65" s="5" t="str">
        <f t="shared" si="7"/>
        <v/>
      </c>
      <c r="W65" s="37" t="s">
        <v>5324</v>
      </c>
      <c r="X65" s="5" t="str">
        <f t="shared" si="8"/>
        <v/>
      </c>
      <c r="Z65" t="str">
        <f t="shared" si="18"/>
        <v>N</v>
      </c>
      <c r="AA65" t="s">
        <v>594</v>
      </c>
      <c r="AB65" t="str">
        <f t="shared" si="9"/>
        <v>N</v>
      </c>
      <c r="AC65" t="s">
        <v>595</v>
      </c>
      <c r="AD65" t="str">
        <f t="shared" si="10"/>
        <v>Y</v>
      </c>
      <c r="AE65" t="s">
        <v>596</v>
      </c>
      <c r="AF65" t="str">
        <f t="shared" si="11"/>
        <v>N</v>
      </c>
      <c r="AG65" t="s">
        <v>597</v>
      </c>
      <c r="AH65" t="str">
        <f t="shared" si="12"/>
        <v>Y</v>
      </c>
      <c r="AI65" t="s">
        <v>598</v>
      </c>
      <c r="AJ65" t="str">
        <f t="shared" si="13"/>
        <v>Y</v>
      </c>
      <c r="AK65" t="s">
        <v>599</v>
      </c>
      <c r="AL65" t="str">
        <f t="shared" si="14"/>
        <v>N</v>
      </c>
      <c r="AM65" t="s">
        <v>600</v>
      </c>
      <c r="AN65" t="str">
        <f t="shared" si="15"/>
        <v>Y</v>
      </c>
      <c r="AO65" t="s">
        <v>601</v>
      </c>
      <c r="AP65" t="str">
        <f t="shared" si="16"/>
        <v>Y</v>
      </c>
      <c r="AQ65" t="s">
        <v>602</v>
      </c>
    </row>
    <row r="66" spans="1:43" x14ac:dyDescent="0.4">
      <c r="A66" s="7"/>
      <c r="B66" s="7"/>
      <c r="C66" s="7"/>
      <c r="D66" s="7"/>
      <c r="E66" s="7"/>
      <c r="F66" s="7"/>
      <c r="G66" s="37" t="s">
        <v>4362</v>
      </c>
      <c r="H66" s="5" t="str">
        <f t="shared" si="0"/>
        <v>bands</v>
      </c>
      <c r="I66" s="37" t="s">
        <v>4472</v>
      </c>
      <c r="J66" s="5" t="str">
        <f t="shared" si="1"/>
        <v/>
      </c>
      <c r="K66" s="37" t="s">
        <v>4318</v>
      </c>
      <c r="L66" s="5" t="str">
        <f t="shared" si="2"/>
        <v>ear</v>
      </c>
      <c r="M66" s="37" t="s">
        <v>4720</v>
      </c>
      <c r="N66" s="5" t="str">
        <f t="shared" si="3"/>
        <v/>
      </c>
      <c r="O66" s="37" t="s">
        <v>4830</v>
      </c>
      <c r="P66" s="5" t="str">
        <f t="shared" si="4"/>
        <v/>
      </c>
      <c r="Q66" s="37" t="s">
        <v>4968</v>
      </c>
      <c r="R66" s="5" t="str">
        <f t="shared" si="5"/>
        <v/>
      </c>
      <c r="S66" s="37" t="s">
        <v>5076</v>
      </c>
      <c r="T66" s="5" t="str">
        <f t="shared" si="6"/>
        <v/>
      </c>
      <c r="U66" s="37" t="s">
        <v>5178</v>
      </c>
      <c r="V66" s="5" t="str">
        <f t="shared" si="7"/>
        <v>signature</v>
      </c>
      <c r="W66" s="37" t="s">
        <v>5325</v>
      </c>
      <c r="X66" s="5" t="str">
        <f t="shared" si="8"/>
        <v/>
      </c>
      <c r="Z66" t="str">
        <f t="shared" si="18"/>
        <v>N</v>
      </c>
      <c r="AA66" t="s">
        <v>603</v>
      </c>
      <c r="AB66" t="str">
        <f t="shared" si="9"/>
        <v>Y</v>
      </c>
      <c r="AC66" t="s">
        <v>604</v>
      </c>
      <c r="AD66" t="str">
        <f t="shared" si="10"/>
        <v>N</v>
      </c>
      <c r="AE66" t="s">
        <v>605</v>
      </c>
      <c r="AF66" t="str">
        <f t="shared" si="11"/>
        <v>Y</v>
      </c>
      <c r="AG66" t="s">
        <v>606</v>
      </c>
      <c r="AH66" t="str">
        <f t="shared" si="12"/>
        <v>Y</v>
      </c>
      <c r="AI66" t="s">
        <v>607</v>
      </c>
      <c r="AJ66" t="str">
        <f t="shared" si="13"/>
        <v>Y</v>
      </c>
      <c r="AK66" t="s">
        <v>608</v>
      </c>
      <c r="AL66" t="str">
        <f t="shared" si="14"/>
        <v>Y</v>
      </c>
      <c r="AM66" t="s">
        <v>609</v>
      </c>
      <c r="AN66" t="str">
        <f t="shared" si="15"/>
        <v>N</v>
      </c>
      <c r="AO66" t="s">
        <v>610</v>
      </c>
      <c r="AP66" t="str">
        <f t="shared" si="16"/>
        <v>Y</v>
      </c>
      <c r="AQ66" t="s">
        <v>611</v>
      </c>
    </row>
    <row r="67" spans="1:43" x14ac:dyDescent="0.4">
      <c r="A67" s="7"/>
      <c r="B67" s="7"/>
      <c r="C67" s="7"/>
      <c r="D67" s="7"/>
      <c r="E67" s="7"/>
      <c r="F67" s="7"/>
      <c r="G67" s="37" t="s">
        <v>4363</v>
      </c>
      <c r="H67" s="5" t="str">
        <f t="shared" si="0"/>
        <v/>
      </c>
      <c r="I67" s="37" t="s">
        <v>4473</v>
      </c>
      <c r="J67" s="5" t="str">
        <f t="shared" si="1"/>
        <v/>
      </c>
      <c r="K67" s="37" t="s">
        <v>4612</v>
      </c>
      <c r="L67" s="5" t="str">
        <f t="shared" si="2"/>
        <v/>
      </c>
      <c r="M67" s="37" t="s">
        <v>4721</v>
      </c>
      <c r="N67" s="5" t="str">
        <f t="shared" si="3"/>
        <v/>
      </c>
      <c r="O67" s="37" t="s">
        <v>4831</v>
      </c>
      <c r="P67" s="5" t="str">
        <f t="shared" si="4"/>
        <v/>
      </c>
      <c r="Q67" s="37" t="s">
        <v>4969</v>
      </c>
      <c r="R67" s="5" t="str">
        <f t="shared" si="5"/>
        <v>pensioners</v>
      </c>
      <c r="S67" s="37" t="s">
        <v>5077</v>
      </c>
      <c r="T67" s="5" t="str">
        <f t="shared" si="6"/>
        <v>refuge</v>
      </c>
      <c r="U67" s="37" t="s">
        <v>5179</v>
      </c>
      <c r="V67" s="5" t="str">
        <f t="shared" si="7"/>
        <v>silence .</v>
      </c>
      <c r="W67" s="37" t="s">
        <v>5326</v>
      </c>
      <c r="X67" s="5" t="str">
        <f t="shared" si="8"/>
        <v>tribe</v>
      </c>
      <c r="Z67" t="str">
        <f t="shared" si="18"/>
        <v>N</v>
      </c>
      <c r="AA67" t="s">
        <v>612</v>
      </c>
      <c r="AB67" t="str">
        <f t="shared" si="9"/>
        <v>Y</v>
      </c>
      <c r="AC67" t="s">
        <v>613</v>
      </c>
      <c r="AD67" t="str">
        <f t="shared" si="10"/>
        <v>Y</v>
      </c>
      <c r="AE67" t="s">
        <v>614</v>
      </c>
      <c r="AF67" t="str">
        <f t="shared" si="11"/>
        <v>Y</v>
      </c>
      <c r="AG67" t="s">
        <v>615</v>
      </c>
      <c r="AH67" t="str">
        <f t="shared" si="12"/>
        <v>Y</v>
      </c>
      <c r="AI67" t="s">
        <v>616</v>
      </c>
      <c r="AJ67" t="str">
        <f t="shared" si="13"/>
        <v>N</v>
      </c>
      <c r="AK67" t="s">
        <v>617</v>
      </c>
      <c r="AL67" t="str">
        <f t="shared" si="14"/>
        <v>N</v>
      </c>
      <c r="AM67" t="s">
        <v>618</v>
      </c>
      <c r="AN67" t="str">
        <f t="shared" si="15"/>
        <v>N</v>
      </c>
      <c r="AO67" t="s">
        <v>619</v>
      </c>
      <c r="AP67" t="str">
        <f t="shared" si="16"/>
        <v>N</v>
      </c>
      <c r="AQ67" t="s">
        <v>620</v>
      </c>
    </row>
    <row r="68" spans="1:43" x14ac:dyDescent="0.4">
      <c r="A68" s="7"/>
      <c r="B68" s="7"/>
      <c r="C68" s="7"/>
      <c r="D68" s="7"/>
      <c r="E68" s="7"/>
      <c r="F68" s="7"/>
      <c r="G68" s="37" t="s">
        <v>4364</v>
      </c>
      <c r="H68" s="5" t="str">
        <f t="shared" ref="H68:H114" si="19">IF(IF(EXACT(AA68,G68)=TRUE,"Y","N")="Y","",VLOOKUP(IF(EXACT(AA68,G68)=TRUE,"Y","N"),Z68:AA68,2,FALSE))</f>
        <v>banquet</v>
      </c>
      <c r="I68" s="37" t="s">
        <v>4474</v>
      </c>
      <c r="J68" s="5" t="str">
        <f t="shared" ref="J68:J131" si="20">IF(IF(EXACT(AC68,I68)=TRUE,"Y","N")="Y","",VLOOKUP(IF(EXACT(AC68,I68)=TRUE,"Y","N"),AB68:AC68,2,FALSE))</f>
        <v/>
      </c>
      <c r="K68" s="37" t="s">
        <v>4613</v>
      </c>
      <c r="L68" s="5" t="str">
        <f t="shared" ref="L68:L116" si="21">IF(IF(EXACT(AE68,K68)=TRUE,"Y","N")="Y","",VLOOKUP(IF(EXACT(AE68,K68)=TRUE,"Y","N"),AD68:AE68,2,FALSE))</f>
        <v/>
      </c>
      <c r="M68" s="37" t="s">
        <v>4722</v>
      </c>
      <c r="N68" s="5" t="str">
        <f t="shared" ref="N68:N131" si="22">IF(IF(EXACT(AG68,M68)=TRUE,"Y","N")="Y","",VLOOKUP(IF(EXACT(AG68,M68)=TRUE,"Y","N"),AF68:AG68,2,FALSE))</f>
        <v>grades</v>
      </c>
      <c r="O68" s="37" t="s">
        <v>4832</v>
      </c>
      <c r="P68" s="5" t="str">
        <f t="shared" ref="P68:P131" si="23">IF(IF(EXACT(AI68,O68)=TRUE,"Y","N")="Y","",VLOOKUP(IF(EXACT(AI68,O68)=TRUE,"Y","N"),AH68:AI68,2,FALSE))</f>
        <v/>
      </c>
      <c r="Q68" s="37" t="s">
        <v>4970</v>
      </c>
      <c r="R68" s="5" t="str">
        <f t="shared" ref="R68:R123" si="24">IF(IF(EXACT(AK68,Q68)=TRUE,"Y","N")="Y","",VLOOKUP(IF(EXACT(AI68,Q68)=TRUE,"Y","N"),AJ68:AK68,2,FALSE))</f>
        <v/>
      </c>
      <c r="S68" s="37" t="s">
        <v>5078</v>
      </c>
      <c r="T68" s="5" t="str">
        <f t="shared" ref="T68:T131" si="25">IF(IF(EXACT(AM68,S68)=TRUE,"Y","N")="Y","",VLOOKUP(IF(EXACT(AM68,S68)=TRUE,"Y","N"),AL68:AM68,2,FALSE))</f>
        <v/>
      </c>
      <c r="U68" s="37" t="s">
        <v>5180</v>
      </c>
      <c r="V68" s="5" t="str">
        <f t="shared" ref="V68:V131" si="26">IF(IF(EXACT(AO68,U68)=TRUE,"Y","N")="Y","",VLOOKUP(IF(EXACT(AO68,U68)=TRUE,"Y","N"),AN68:AO68,2,FALSE))</f>
        <v/>
      </c>
      <c r="W68" s="37" t="s">
        <v>5327</v>
      </c>
      <c r="X68" s="5" t="str">
        <f t="shared" ref="X68:X131" si="27">IF(IF(EXACT(AQ68,W68)=TRUE,"Y","N")="Y","",VLOOKUP(IF(EXACT(AQ68,W68)=TRUE,"Y","N"),AP68:AQ68,2,FALSE))</f>
        <v/>
      </c>
      <c r="Z68" t="str">
        <f t="shared" si="18"/>
        <v>N</v>
      </c>
      <c r="AA68" t="s">
        <v>621</v>
      </c>
      <c r="AB68" t="str">
        <f t="shared" ref="AB68:AB131" si="28">IF(EXACT(AC68,I68)=TRUE,"Y","N")</f>
        <v>Y</v>
      </c>
      <c r="AC68" t="s">
        <v>622</v>
      </c>
      <c r="AD68" t="str">
        <f t="shared" ref="AD68:AD115" si="29">IF(EXACT(AE68,K68)=TRUE,"Y","N")</f>
        <v>Y</v>
      </c>
      <c r="AE68" t="s">
        <v>623</v>
      </c>
      <c r="AF68" t="str">
        <f t="shared" ref="AF68:AF114" si="30">IF(EXACT(AG68,M68)=TRUE,"Y","N")</f>
        <v>N</v>
      </c>
      <c r="AG68" t="s">
        <v>624</v>
      </c>
      <c r="AH68" t="str">
        <f t="shared" ref="AH68:AH131" si="31">IF(EXACT(AI68,O68)=TRUE,"Y","N")</f>
        <v>Y</v>
      </c>
      <c r="AI68" t="s">
        <v>625</v>
      </c>
      <c r="AJ68" t="str">
        <f t="shared" ref="AJ68:AJ115" si="32">IF(EXACT(AK68,Q68)=TRUE,"Y","N")</f>
        <v>Y</v>
      </c>
      <c r="AK68" t="s">
        <v>626</v>
      </c>
      <c r="AL68" t="str">
        <f t="shared" ref="AL68:AL106" si="33">IF(EXACT(AM68,S68)=TRUE,"Y","N")</f>
        <v>Y</v>
      </c>
      <c r="AM68" t="s">
        <v>627</v>
      </c>
      <c r="AN68" t="str">
        <f t="shared" ref="AN68:AN131" si="34">IF(EXACT(AO68,U68)=TRUE,"Y","N")</f>
        <v>Y</v>
      </c>
      <c r="AO68" t="s">
        <v>628</v>
      </c>
      <c r="AP68" t="str">
        <f t="shared" ref="AP68:AP131" si="35">IF(EXACT(AQ68,W68)=TRUE,"Y","N")</f>
        <v>Y</v>
      </c>
      <c r="AQ68" t="s">
        <v>629</v>
      </c>
    </row>
    <row r="69" spans="1:43" x14ac:dyDescent="0.4">
      <c r="A69" s="7"/>
      <c r="B69" s="7"/>
      <c r="C69" s="7"/>
      <c r="D69" s="7"/>
      <c r="E69" s="7"/>
      <c r="F69" s="7"/>
      <c r="G69" s="37" t="s">
        <v>4365</v>
      </c>
      <c r="H69" s="5" t="str">
        <f t="shared" si="19"/>
        <v/>
      </c>
      <c r="I69" s="37" t="s">
        <v>4475</v>
      </c>
      <c r="J69" s="5" t="str">
        <f t="shared" si="20"/>
        <v/>
      </c>
      <c r="K69" s="37" t="s">
        <v>4614</v>
      </c>
      <c r="L69" s="5" t="str">
        <f t="shared" si="21"/>
        <v/>
      </c>
      <c r="M69" s="37" t="s">
        <v>4723</v>
      </c>
      <c r="N69" s="5" t="str">
        <f t="shared" si="22"/>
        <v/>
      </c>
      <c r="O69" s="37" t="s">
        <v>4833</v>
      </c>
      <c r="P69" s="5" t="str">
        <f t="shared" si="23"/>
        <v>laser</v>
      </c>
      <c r="Q69" s="37" t="s">
        <v>4971</v>
      </c>
      <c r="R69" s="5" t="str">
        <f t="shared" si="24"/>
        <v/>
      </c>
      <c r="S69" s="37" t="s">
        <v>5079</v>
      </c>
      <c r="T69" s="5" t="str">
        <f t="shared" si="25"/>
        <v/>
      </c>
      <c r="U69" s="37" t="s">
        <v>5181</v>
      </c>
      <c r="V69" s="5" t="str">
        <f t="shared" si="26"/>
        <v/>
      </c>
      <c r="W69" s="37" t="s">
        <v>5328</v>
      </c>
      <c r="X69" s="5" t="str">
        <f t="shared" si="27"/>
        <v/>
      </c>
      <c r="Z69" t="str">
        <f t="shared" si="18"/>
        <v>N</v>
      </c>
      <c r="AA69" t="s">
        <v>630</v>
      </c>
      <c r="AB69" t="str">
        <f t="shared" si="28"/>
        <v>Y</v>
      </c>
      <c r="AC69" t="s">
        <v>631</v>
      </c>
      <c r="AD69" t="str">
        <f t="shared" si="29"/>
        <v>Y</v>
      </c>
      <c r="AE69" t="s">
        <v>632</v>
      </c>
      <c r="AF69" t="str">
        <f t="shared" si="30"/>
        <v>Y</v>
      </c>
      <c r="AG69" t="s">
        <v>633</v>
      </c>
      <c r="AH69" t="str">
        <f t="shared" si="31"/>
        <v>N</v>
      </c>
      <c r="AI69" t="s">
        <v>634</v>
      </c>
      <c r="AJ69" t="str">
        <f t="shared" si="32"/>
        <v>Y</v>
      </c>
      <c r="AK69" t="s">
        <v>635</v>
      </c>
      <c r="AL69" t="str">
        <f t="shared" si="33"/>
        <v>Y</v>
      </c>
      <c r="AM69" t="s">
        <v>636</v>
      </c>
      <c r="AN69" t="str">
        <f t="shared" si="34"/>
        <v>Y</v>
      </c>
      <c r="AO69" t="s">
        <v>637</v>
      </c>
      <c r="AP69" t="str">
        <f t="shared" si="35"/>
        <v>Y</v>
      </c>
      <c r="AQ69" t="s">
        <v>638</v>
      </c>
    </row>
    <row r="70" spans="1:43" x14ac:dyDescent="0.4">
      <c r="A70" s="7"/>
      <c r="B70" s="7"/>
      <c r="C70" s="7"/>
      <c r="D70" s="7"/>
      <c r="E70" s="7"/>
      <c r="F70" s="7"/>
      <c r="G70" s="37" t="s">
        <v>4366</v>
      </c>
      <c r="H70" s="5" t="str">
        <f t="shared" si="19"/>
        <v/>
      </c>
      <c r="I70" s="37" t="s">
        <v>4476</v>
      </c>
      <c r="J70" s="5" t="str">
        <f t="shared" si="20"/>
        <v/>
      </c>
      <c r="K70" s="37" t="s">
        <v>4615</v>
      </c>
      <c r="L70" s="5" t="str">
        <f t="shared" si="21"/>
        <v/>
      </c>
      <c r="M70" s="37" t="s">
        <v>4724</v>
      </c>
      <c r="N70" s="5" t="str">
        <f t="shared" si="22"/>
        <v/>
      </c>
      <c r="O70" s="37" t="s">
        <v>4833</v>
      </c>
      <c r="P70" s="5" t="str">
        <f t="shared" si="23"/>
        <v>lava</v>
      </c>
      <c r="Q70" s="37" t="s">
        <v>4972</v>
      </c>
      <c r="R70" s="5" t="str">
        <f t="shared" si="24"/>
        <v/>
      </c>
      <c r="S70" s="37" t="s">
        <v>5080</v>
      </c>
      <c r="T70" s="5" t="str">
        <f t="shared" si="25"/>
        <v/>
      </c>
      <c r="U70" s="37" t="s">
        <v>5176</v>
      </c>
      <c r="V70" s="5" t="str">
        <f t="shared" si="26"/>
        <v/>
      </c>
      <c r="W70" s="37" t="s">
        <v>5329</v>
      </c>
      <c r="X70" s="5" t="str">
        <f t="shared" si="27"/>
        <v>Trinity</v>
      </c>
      <c r="Z70" t="str">
        <f t="shared" ref="Z70:Z114" si="36">IF(EXACT(AA70,AG70)=TRUE,"Y","N")</f>
        <v>N</v>
      </c>
      <c r="AA70" t="s">
        <v>639</v>
      </c>
      <c r="AB70" t="str">
        <f t="shared" si="28"/>
        <v>Y</v>
      </c>
      <c r="AC70" t="s">
        <v>640</v>
      </c>
      <c r="AD70" t="str">
        <f t="shared" si="29"/>
        <v>Y</v>
      </c>
      <c r="AE70" t="s">
        <v>641</v>
      </c>
      <c r="AF70" t="str">
        <f t="shared" si="30"/>
        <v>Y</v>
      </c>
      <c r="AG70" t="s">
        <v>642</v>
      </c>
      <c r="AH70" t="str">
        <f t="shared" si="31"/>
        <v>N</v>
      </c>
      <c r="AI70" t="s">
        <v>643</v>
      </c>
      <c r="AJ70" t="str">
        <f t="shared" si="32"/>
        <v>Y</v>
      </c>
      <c r="AK70" t="s">
        <v>644</v>
      </c>
      <c r="AL70" t="str">
        <f t="shared" si="33"/>
        <v>Y</v>
      </c>
      <c r="AM70" t="s">
        <v>645</v>
      </c>
      <c r="AN70" t="str">
        <f t="shared" si="34"/>
        <v>Y</v>
      </c>
      <c r="AO70" t="s">
        <v>646</v>
      </c>
      <c r="AP70" t="str">
        <f t="shared" si="35"/>
        <v>N</v>
      </c>
      <c r="AQ70" t="s">
        <v>647</v>
      </c>
    </row>
    <row r="71" spans="1:43" x14ac:dyDescent="0.4">
      <c r="A71" s="7"/>
      <c r="B71" s="7"/>
      <c r="C71" s="7"/>
      <c r="D71" s="7"/>
      <c r="E71" s="7"/>
      <c r="F71" s="7"/>
      <c r="G71" s="37" t="s">
        <v>4367</v>
      </c>
      <c r="H71" s="5" t="str">
        <f t="shared" si="19"/>
        <v>bases</v>
      </c>
      <c r="I71" s="37" t="s">
        <v>4477</v>
      </c>
      <c r="J71" s="5" t="str">
        <f t="shared" si="20"/>
        <v/>
      </c>
      <c r="K71" s="37" t="s">
        <v>4616</v>
      </c>
      <c r="L71" s="5" t="str">
        <f t="shared" si="21"/>
        <v/>
      </c>
      <c r="M71" s="37" t="s">
        <v>4725</v>
      </c>
      <c r="N71" s="5" t="str">
        <f t="shared" si="22"/>
        <v xml:space="preserve">grain </v>
      </c>
      <c r="O71" s="37" t="s">
        <v>4834</v>
      </c>
      <c r="P71" s="5" t="str">
        <f t="shared" si="23"/>
        <v/>
      </c>
      <c r="Q71" s="37" t="s">
        <v>4973</v>
      </c>
      <c r="R71" s="5" t="str">
        <f t="shared" si="24"/>
        <v/>
      </c>
      <c r="S71" s="37" t="s">
        <v>5081</v>
      </c>
      <c r="T71" s="5" t="str">
        <f t="shared" si="25"/>
        <v/>
      </c>
      <c r="U71" s="37" t="s">
        <v>5182</v>
      </c>
      <c r="V71" s="5" t="str">
        <f t="shared" si="26"/>
        <v/>
      </c>
      <c r="W71" s="37" t="s">
        <v>4404</v>
      </c>
      <c r="X71" s="5" t="str">
        <f t="shared" si="27"/>
        <v>trolley</v>
      </c>
      <c r="Z71" t="str">
        <f t="shared" si="36"/>
        <v>N</v>
      </c>
      <c r="AA71" t="s">
        <v>648</v>
      </c>
      <c r="AB71" t="str">
        <f t="shared" si="28"/>
        <v>Y</v>
      </c>
      <c r="AC71" t="s">
        <v>649</v>
      </c>
      <c r="AD71" t="str">
        <f t="shared" si="29"/>
        <v>Y</v>
      </c>
      <c r="AE71" t="s">
        <v>650</v>
      </c>
      <c r="AF71" t="str">
        <f t="shared" si="30"/>
        <v>N</v>
      </c>
      <c r="AG71" t="s">
        <v>651</v>
      </c>
      <c r="AH71" t="str">
        <f t="shared" si="31"/>
        <v>Y</v>
      </c>
      <c r="AI71" t="s">
        <v>652</v>
      </c>
      <c r="AJ71" t="str">
        <f t="shared" si="32"/>
        <v>Y</v>
      </c>
      <c r="AK71" t="s">
        <v>653</v>
      </c>
      <c r="AL71" t="str">
        <f t="shared" si="33"/>
        <v>Y</v>
      </c>
      <c r="AM71" t="s">
        <v>654</v>
      </c>
      <c r="AN71" t="str">
        <f t="shared" si="34"/>
        <v>Y</v>
      </c>
      <c r="AO71" t="s">
        <v>655</v>
      </c>
      <c r="AP71" t="str">
        <f t="shared" si="35"/>
        <v>N</v>
      </c>
      <c r="AQ71" t="s">
        <v>656</v>
      </c>
    </row>
    <row r="72" spans="1:43" x14ac:dyDescent="0.4">
      <c r="A72" s="7"/>
      <c r="B72" s="7"/>
      <c r="C72" s="7"/>
      <c r="D72" s="7"/>
      <c r="E72" s="7"/>
      <c r="F72" s="7"/>
      <c r="G72" s="37" t="s">
        <v>4368</v>
      </c>
      <c r="H72" s="5" t="str">
        <f t="shared" si="19"/>
        <v>basis</v>
      </c>
      <c r="I72" s="37" t="s">
        <v>4478</v>
      </c>
      <c r="J72" s="5" t="str">
        <f t="shared" si="20"/>
        <v/>
      </c>
      <c r="K72" s="37" t="s">
        <v>4617</v>
      </c>
      <c r="L72" s="5" t="str">
        <f t="shared" si="21"/>
        <v/>
      </c>
      <c r="M72" s="37" t="s">
        <v>4726</v>
      </c>
      <c r="N72" s="5" t="str">
        <f t="shared" si="22"/>
        <v/>
      </c>
      <c r="O72" s="37" t="s">
        <v>4835</v>
      </c>
      <c r="P72" s="5" t="str">
        <f t="shared" si="23"/>
        <v/>
      </c>
      <c r="Q72" s="37" t="s">
        <v>4974</v>
      </c>
      <c r="R72" s="5" t="str">
        <f t="shared" si="24"/>
        <v/>
      </c>
      <c r="S72" s="37" t="s">
        <v>5082</v>
      </c>
      <c r="T72" s="5" t="str">
        <f t="shared" si="25"/>
        <v/>
      </c>
      <c r="U72" s="37" t="s">
        <v>5183</v>
      </c>
      <c r="V72" s="5" t="str">
        <f t="shared" si="26"/>
        <v/>
      </c>
      <c r="W72" s="37" t="s">
        <v>5330</v>
      </c>
      <c r="X72" s="5" t="str">
        <f t="shared" si="27"/>
        <v/>
      </c>
      <c r="Z72" t="str">
        <f t="shared" si="36"/>
        <v>N</v>
      </c>
      <c r="AA72" t="s">
        <v>657</v>
      </c>
      <c r="AB72" t="str">
        <f t="shared" si="28"/>
        <v>Y</v>
      </c>
      <c r="AC72" t="s">
        <v>658</v>
      </c>
      <c r="AD72" t="str">
        <f t="shared" si="29"/>
        <v>Y</v>
      </c>
      <c r="AE72" t="s">
        <v>659</v>
      </c>
      <c r="AF72" t="str">
        <f t="shared" si="30"/>
        <v>Y</v>
      </c>
      <c r="AG72" t="s">
        <v>660</v>
      </c>
      <c r="AH72" t="str">
        <f t="shared" si="31"/>
        <v>Y</v>
      </c>
      <c r="AI72" t="s">
        <v>661</v>
      </c>
      <c r="AJ72" t="str">
        <f t="shared" si="32"/>
        <v>Y</v>
      </c>
      <c r="AK72" t="s">
        <v>662</v>
      </c>
      <c r="AL72" t="str">
        <f t="shared" si="33"/>
        <v>Y</v>
      </c>
      <c r="AM72" t="s">
        <v>663</v>
      </c>
      <c r="AN72" t="str">
        <f t="shared" si="34"/>
        <v>Y</v>
      </c>
      <c r="AO72" t="s">
        <v>664</v>
      </c>
      <c r="AP72" t="str">
        <f t="shared" si="35"/>
        <v>Y</v>
      </c>
      <c r="AQ72" t="s">
        <v>665</v>
      </c>
    </row>
    <row r="73" spans="1:43" x14ac:dyDescent="0.4">
      <c r="A73" s="7"/>
      <c r="B73" s="7"/>
      <c r="C73" s="7"/>
      <c r="D73" s="7"/>
      <c r="E73" s="7"/>
      <c r="F73" s="7"/>
      <c r="G73" s="37" t="s">
        <v>4369</v>
      </c>
      <c r="H73" s="5" t="str">
        <f t="shared" si="19"/>
        <v/>
      </c>
      <c r="I73" s="37" t="s">
        <v>4479</v>
      </c>
      <c r="J73" s="5" t="str">
        <f t="shared" si="20"/>
        <v/>
      </c>
      <c r="K73" s="37" t="s">
        <v>4618</v>
      </c>
      <c r="L73" s="5" t="str">
        <f t="shared" si="21"/>
        <v/>
      </c>
      <c r="M73" s="37" t="s">
        <v>4725</v>
      </c>
      <c r="N73" s="5" t="str">
        <f t="shared" si="22"/>
        <v/>
      </c>
      <c r="O73" s="37" t="s">
        <v>4836</v>
      </c>
      <c r="P73" s="5" t="str">
        <f t="shared" si="23"/>
        <v/>
      </c>
      <c r="Q73" s="37" t="s">
        <v>4975</v>
      </c>
      <c r="R73" s="5" t="str">
        <f t="shared" si="24"/>
        <v/>
      </c>
      <c r="S73" s="37" t="s">
        <v>5083</v>
      </c>
      <c r="T73" s="5" t="str">
        <f t="shared" si="25"/>
        <v/>
      </c>
      <c r="U73" s="37" t="s">
        <v>5184</v>
      </c>
      <c r="V73" s="5" t="str">
        <f t="shared" si="26"/>
        <v>skeleton</v>
      </c>
      <c r="W73" s="37" t="s">
        <v>5331</v>
      </c>
      <c r="X73" s="5" t="str">
        <f t="shared" si="27"/>
        <v/>
      </c>
      <c r="Z73" t="str">
        <f t="shared" si="36"/>
        <v>N</v>
      </c>
      <c r="AA73" t="s">
        <v>666</v>
      </c>
      <c r="AB73" t="str">
        <f t="shared" si="28"/>
        <v>Y</v>
      </c>
      <c r="AC73" t="s">
        <v>667</v>
      </c>
      <c r="AD73" t="str">
        <f t="shared" si="29"/>
        <v>Y</v>
      </c>
      <c r="AE73" t="s">
        <v>668</v>
      </c>
      <c r="AF73" t="str">
        <f t="shared" si="30"/>
        <v>Y</v>
      </c>
      <c r="AG73" t="s">
        <v>669</v>
      </c>
      <c r="AH73" t="str">
        <f t="shared" si="31"/>
        <v>Y</v>
      </c>
      <c r="AI73" t="s">
        <v>670</v>
      </c>
      <c r="AJ73" t="str">
        <f t="shared" si="32"/>
        <v>Y</v>
      </c>
      <c r="AK73" t="s">
        <v>671</v>
      </c>
      <c r="AL73" t="str">
        <f t="shared" si="33"/>
        <v>Y</v>
      </c>
      <c r="AM73" t="s">
        <v>672</v>
      </c>
      <c r="AN73" t="str">
        <f t="shared" si="34"/>
        <v>N</v>
      </c>
      <c r="AO73" t="s">
        <v>673</v>
      </c>
      <c r="AP73" t="str">
        <f t="shared" si="35"/>
        <v>Y</v>
      </c>
      <c r="AQ73" t="s">
        <v>674</v>
      </c>
    </row>
    <row r="74" spans="1:43" x14ac:dyDescent="0.4">
      <c r="A74" s="7"/>
      <c r="B74" s="7"/>
      <c r="C74" s="7"/>
      <c r="D74" s="7"/>
      <c r="E74" s="7"/>
      <c r="F74" s="7"/>
      <c r="G74" s="37" t="s">
        <v>4370</v>
      </c>
      <c r="H74" s="5" t="str">
        <f t="shared" si="19"/>
        <v/>
      </c>
      <c r="I74" s="37" t="s">
        <v>4480</v>
      </c>
      <c r="J74" s="5" t="str">
        <f t="shared" si="20"/>
        <v/>
      </c>
      <c r="K74" s="37" t="s">
        <v>4619</v>
      </c>
      <c r="L74" s="5" t="str">
        <f t="shared" si="21"/>
        <v/>
      </c>
      <c r="M74" s="37" t="s">
        <v>4727</v>
      </c>
      <c r="N74" s="5" t="str">
        <f t="shared" si="22"/>
        <v/>
      </c>
      <c r="O74" s="37" t="s">
        <v>4837</v>
      </c>
      <c r="P74" s="5" t="str">
        <f t="shared" si="23"/>
        <v/>
      </c>
      <c r="Q74" s="37" t="s">
        <v>4976</v>
      </c>
      <c r="R74" s="5" t="str">
        <f t="shared" si="24"/>
        <v/>
      </c>
      <c r="S74" s="37" t="s">
        <v>5084</v>
      </c>
      <c r="T74" s="5" t="str">
        <f t="shared" si="25"/>
        <v/>
      </c>
      <c r="U74" s="37" t="s">
        <v>5185</v>
      </c>
      <c r="V74" s="5" t="str">
        <f t="shared" si="26"/>
        <v/>
      </c>
      <c r="W74" s="37" t="s">
        <v>5332</v>
      </c>
      <c r="X74" s="5" t="str">
        <f t="shared" si="27"/>
        <v/>
      </c>
      <c r="Z74" t="str">
        <f t="shared" si="36"/>
        <v>N</v>
      </c>
      <c r="AA74" t="s">
        <v>675</v>
      </c>
      <c r="AB74" t="str">
        <f t="shared" si="28"/>
        <v>Y</v>
      </c>
      <c r="AC74" t="s">
        <v>676</v>
      </c>
      <c r="AD74" t="str">
        <f t="shared" si="29"/>
        <v>Y</v>
      </c>
      <c r="AE74" t="s">
        <v>677</v>
      </c>
      <c r="AF74" t="str">
        <f t="shared" si="30"/>
        <v>Y</v>
      </c>
      <c r="AG74" t="s">
        <v>678</v>
      </c>
      <c r="AH74" t="str">
        <f t="shared" si="31"/>
        <v>Y</v>
      </c>
      <c r="AI74" t="s">
        <v>679</v>
      </c>
      <c r="AJ74" t="str">
        <f t="shared" si="32"/>
        <v>Y</v>
      </c>
      <c r="AK74" t="s">
        <v>680</v>
      </c>
      <c r="AL74" t="str">
        <f t="shared" si="33"/>
        <v>Y</v>
      </c>
      <c r="AM74" t="s">
        <v>681</v>
      </c>
      <c r="AN74" t="str">
        <f t="shared" si="34"/>
        <v>Y</v>
      </c>
      <c r="AO74" t="s">
        <v>682</v>
      </c>
      <c r="AP74" t="str">
        <f t="shared" si="35"/>
        <v>Y</v>
      </c>
      <c r="AQ74" t="s">
        <v>683</v>
      </c>
    </row>
    <row r="75" spans="1:43" x14ac:dyDescent="0.4">
      <c r="A75" s="7"/>
      <c r="B75" s="7"/>
      <c r="C75" s="7"/>
      <c r="D75" s="7"/>
      <c r="E75" s="7"/>
      <c r="F75" s="7"/>
      <c r="G75" s="37" t="s">
        <v>4371</v>
      </c>
      <c r="H75" s="5" t="str">
        <f t="shared" si="19"/>
        <v/>
      </c>
      <c r="I75" s="37" t="s">
        <v>4481</v>
      </c>
      <c r="J75" s="5" t="str">
        <f t="shared" si="20"/>
        <v/>
      </c>
      <c r="K75" s="37" t="s">
        <v>4620</v>
      </c>
      <c r="L75" s="5" t="str">
        <f t="shared" si="21"/>
        <v/>
      </c>
      <c r="M75" s="37" t="s">
        <v>4728</v>
      </c>
      <c r="N75" s="5" t="str">
        <f t="shared" si="22"/>
        <v/>
      </c>
      <c r="O75" s="37" t="s">
        <v>4838</v>
      </c>
      <c r="P75" s="5" t="str">
        <f t="shared" si="23"/>
        <v/>
      </c>
      <c r="Q75" s="37" t="s">
        <v>4977</v>
      </c>
      <c r="R75" s="5" t="str">
        <f t="shared" si="24"/>
        <v/>
      </c>
      <c r="S75" s="37" t="s">
        <v>5085</v>
      </c>
      <c r="T75" s="5" t="str">
        <f t="shared" si="25"/>
        <v/>
      </c>
      <c r="U75" s="37" t="s">
        <v>5186</v>
      </c>
      <c r="V75" s="5" t="str">
        <f t="shared" si="26"/>
        <v/>
      </c>
      <c r="W75" s="37" t="s">
        <v>5333</v>
      </c>
      <c r="X75" s="5" t="str">
        <f t="shared" si="27"/>
        <v/>
      </c>
      <c r="Z75" t="str">
        <f t="shared" si="36"/>
        <v>N</v>
      </c>
      <c r="AA75" t="s">
        <v>684</v>
      </c>
      <c r="AB75" t="str">
        <f t="shared" si="28"/>
        <v>Y</v>
      </c>
      <c r="AC75" t="s">
        <v>685</v>
      </c>
      <c r="AD75" t="str">
        <f t="shared" si="29"/>
        <v>Y</v>
      </c>
      <c r="AE75" t="s">
        <v>686</v>
      </c>
      <c r="AF75" t="str">
        <f t="shared" si="30"/>
        <v>Y</v>
      </c>
      <c r="AG75" t="s">
        <v>687</v>
      </c>
      <c r="AH75" t="str">
        <f t="shared" si="31"/>
        <v>Y</v>
      </c>
      <c r="AI75" t="s">
        <v>688</v>
      </c>
      <c r="AJ75" t="str">
        <f t="shared" si="32"/>
        <v>Y</v>
      </c>
      <c r="AK75" t="s">
        <v>689</v>
      </c>
      <c r="AL75" t="str">
        <f t="shared" si="33"/>
        <v>Y</v>
      </c>
      <c r="AM75" t="s">
        <v>690</v>
      </c>
      <c r="AN75" t="str">
        <f t="shared" si="34"/>
        <v>Y</v>
      </c>
      <c r="AO75" t="s">
        <v>691</v>
      </c>
      <c r="AP75" t="str">
        <f t="shared" si="35"/>
        <v>Y</v>
      </c>
      <c r="AQ75" t="s">
        <v>692</v>
      </c>
    </row>
    <row r="76" spans="1:43" x14ac:dyDescent="0.4">
      <c r="A76" s="7"/>
      <c r="B76" s="7"/>
      <c r="C76" s="7"/>
      <c r="D76" s="7"/>
      <c r="E76" s="7"/>
      <c r="F76" s="7"/>
      <c r="G76" s="37" t="s">
        <v>4372</v>
      </c>
      <c r="H76" s="5" t="str">
        <f t="shared" si="19"/>
        <v/>
      </c>
      <c r="I76" s="37" t="s">
        <v>4482</v>
      </c>
      <c r="J76" s="5" t="str">
        <f t="shared" si="20"/>
        <v/>
      </c>
      <c r="K76" s="37" t="s">
        <v>4621</v>
      </c>
      <c r="L76" s="5" t="str">
        <f t="shared" si="21"/>
        <v/>
      </c>
      <c r="M76" s="37" t="s">
        <v>4729</v>
      </c>
      <c r="N76" s="5" t="str">
        <f t="shared" si="22"/>
        <v/>
      </c>
      <c r="O76" s="37" t="s">
        <v>4839</v>
      </c>
      <c r="P76" s="5" t="str">
        <f t="shared" si="23"/>
        <v/>
      </c>
      <c r="Q76" s="37" t="s">
        <v>4978</v>
      </c>
      <c r="R76" s="5" t="str">
        <f t="shared" si="24"/>
        <v/>
      </c>
      <c r="S76" s="37" t="s">
        <v>5086</v>
      </c>
      <c r="T76" s="5" t="str">
        <f t="shared" si="25"/>
        <v/>
      </c>
      <c r="U76" s="37" t="s">
        <v>5187</v>
      </c>
      <c r="V76" s="5" t="str">
        <f t="shared" si="26"/>
        <v>skirt</v>
      </c>
      <c r="W76" s="37" t="s">
        <v>5334</v>
      </c>
      <c r="X76" s="5" t="str">
        <f t="shared" si="27"/>
        <v/>
      </c>
      <c r="Z76" t="str">
        <f t="shared" si="36"/>
        <v>N</v>
      </c>
      <c r="AA76" t="s">
        <v>693</v>
      </c>
      <c r="AB76" t="str">
        <f t="shared" si="28"/>
        <v>Y</v>
      </c>
      <c r="AC76" t="s">
        <v>694</v>
      </c>
      <c r="AD76" t="str">
        <f t="shared" si="29"/>
        <v>Y</v>
      </c>
      <c r="AE76" t="s">
        <v>695</v>
      </c>
      <c r="AF76" t="str">
        <f t="shared" si="30"/>
        <v>Y</v>
      </c>
      <c r="AG76" t="s">
        <v>696</v>
      </c>
      <c r="AH76" t="str">
        <f t="shared" si="31"/>
        <v>Y</v>
      </c>
      <c r="AI76" t="s">
        <v>697</v>
      </c>
      <c r="AJ76" t="str">
        <f t="shared" si="32"/>
        <v>Y</v>
      </c>
      <c r="AK76" t="s">
        <v>698</v>
      </c>
      <c r="AL76" t="str">
        <f t="shared" si="33"/>
        <v>Y</v>
      </c>
      <c r="AM76" t="s">
        <v>699</v>
      </c>
      <c r="AN76" t="str">
        <f t="shared" si="34"/>
        <v>N</v>
      </c>
      <c r="AO76" t="s">
        <v>700</v>
      </c>
      <c r="AP76" t="str">
        <f t="shared" si="35"/>
        <v>Y</v>
      </c>
      <c r="AQ76" t="s">
        <v>701</v>
      </c>
    </row>
    <row r="77" spans="1:43" x14ac:dyDescent="0.4">
      <c r="A77" s="7"/>
      <c r="B77" s="7"/>
      <c r="C77" s="7"/>
      <c r="D77" s="7"/>
      <c r="E77" s="7"/>
      <c r="F77" s="7"/>
      <c r="G77" s="37" t="s">
        <v>4373</v>
      </c>
      <c r="H77" s="5" t="str">
        <f t="shared" si="19"/>
        <v>beard</v>
      </c>
      <c r="I77" s="37" t="s">
        <v>4483</v>
      </c>
      <c r="J77" s="5" t="str">
        <f t="shared" si="20"/>
        <v/>
      </c>
      <c r="K77" s="37" t="s">
        <v>4622</v>
      </c>
      <c r="L77" s="5" t="str">
        <f t="shared" si="21"/>
        <v/>
      </c>
      <c r="M77" s="37" t="s">
        <v>4730</v>
      </c>
      <c r="N77" s="5" t="str">
        <f t="shared" si="22"/>
        <v/>
      </c>
      <c r="O77" s="37" t="s">
        <v>4840</v>
      </c>
      <c r="P77" s="5" t="str">
        <f t="shared" si="23"/>
        <v>lender</v>
      </c>
      <c r="Q77" s="37" t="s">
        <v>4979</v>
      </c>
      <c r="R77" s="5" t="str">
        <f t="shared" si="24"/>
        <v/>
      </c>
      <c r="S77" s="37" t="s">
        <v>5087</v>
      </c>
      <c r="T77" s="5" t="str">
        <f t="shared" si="25"/>
        <v/>
      </c>
      <c r="U77" s="37" t="s">
        <v>5188</v>
      </c>
      <c r="V77" s="5" t="str">
        <f t="shared" si="26"/>
        <v>slang</v>
      </c>
      <c r="W77" s="37" t="s">
        <v>5335</v>
      </c>
      <c r="X77" s="5" t="str">
        <f t="shared" si="27"/>
        <v/>
      </c>
      <c r="Z77" t="str">
        <f t="shared" si="36"/>
        <v>N</v>
      </c>
      <c r="AA77" t="s">
        <v>702</v>
      </c>
      <c r="AB77" t="str">
        <f t="shared" si="28"/>
        <v>Y</v>
      </c>
      <c r="AC77" t="s">
        <v>703</v>
      </c>
      <c r="AD77" t="str">
        <f t="shared" si="29"/>
        <v>Y</v>
      </c>
      <c r="AE77" t="s">
        <v>704</v>
      </c>
      <c r="AF77" t="str">
        <f t="shared" si="30"/>
        <v>Y</v>
      </c>
      <c r="AG77" t="s">
        <v>705</v>
      </c>
      <c r="AH77" t="str">
        <f t="shared" si="31"/>
        <v>N</v>
      </c>
      <c r="AI77" t="s">
        <v>706</v>
      </c>
      <c r="AJ77" t="str">
        <f t="shared" si="32"/>
        <v>Y</v>
      </c>
      <c r="AK77" t="s">
        <v>707</v>
      </c>
      <c r="AL77" t="str">
        <f t="shared" si="33"/>
        <v>Y</v>
      </c>
      <c r="AM77" t="s">
        <v>708</v>
      </c>
      <c r="AN77" t="str">
        <f t="shared" si="34"/>
        <v>N</v>
      </c>
      <c r="AO77" t="s">
        <v>709</v>
      </c>
      <c r="AP77" t="str">
        <f t="shared" si="35"/>
        <v>Y</v>
      </c>
      <c r="AQ77" t="s">
        <v>710</v>
      </c>
    </row>
    <row r="78" spans="1:43" x14ac:dyDescent="0.4">
      <c r="A78" s="7"/>
      <c r="B78" s="7"/>
      <c r="C78" s="7"/>
      <c r="D78" s="7"/>
      <c r="E78" s="7"/>
      <c r="F78" s="7"/>
      <c r="G78" s="37" t="s">
        <v>4374</v>
      </c>
      <c r="H78" s="5" t="str">
        <f t="shared" si="19"/>
        <v>beats</v>
      </c>
      <c r="I78" s="37" t="s">
        <v>4484</v>
      </c>
      <c r="J78" s="5" t="str">
        <f t="shared" si="20"/>
        <v>companion</v>
      </c>
      <c r="K78" s="37" t="s">
        <v>4623</v>
      </c>
      <c r="L78" s="5" t="str">
        <f t="shared" si="21"/>
        <v/>
      </c>
      <c r="M78" s="37" t="s">
        <v>4731</v>
      </c>
      <c r="N78" s="5" t="str">
        <f t="shared" si="22"/>
        <v/>
      </c>
      <c r="O78" s="37" t="s">
        <v>4841</v>
      </c>
      <c r="P78" s="5" t="str">
        <f t="shared" si="23"/>
        <v>length</v>
      </c>
      <c r="Q78" s="37" t="s">
        <v>4980</v>
      </c>
      <c r="R78" s="5" t="str">
        <f t="shared" si="24"/>
        <v/>
      </c>
      <c r="S78" s="37" t="s">
        <v>5088</v>
      </c>
      <c r="T78" s="5" t="str">
        <f t="shared" si="25"/>
        <v/>
      </c>
      <c r="U78" s="37" t="s">
        <v>5189</v>
      </c>
      <c r="V78" s="5" t="str">
        <f t="shared" si="26"/>
        <v/>
      </c>
      <c r="W78" s="37" t="s">
        <v>5336</v>
      </c>
      <c r="X78" s="5" t="str">
        <f t="shared" si="27"/>
        <v/>
      </c>
      <c r="Z78" t="str">
        <f t="shared" si="36"/>
        <v>N</v>
      </c>
      <c r="AA78" t="s">
        <v>711</v>
      </c>
      <c r="AB78" t="str">
        <f t="shared" si="28"/>
        <v>N</v>
      </c>
      <c r="AC78" t="s">
        <v>712</v>
      </c>
      <c r="AD78" t="str">
        <f t="shared" si="29"/>
        <v>Y</v>
      </c>
      <c r="AE78" t="s">
        <v>713</v>
      </c>
      <c r="AF78" t="str">
        <f t="shared" si="30"/>
        <v>Y</v>
      </c>
      <c r="AG78" t="s">
        <v>714</v>
      </c>
      <c r="AH78" t="str">
        <f t="shared" si="31"/>
        <v>N</v>
      </c>
      <c r="AI78" t="s">
        <v>715</v>
      </c>
      <c r="AJ78" t="str">
        <f t="shared" si="32"/>
        <v>Y</v>
      </c>
      <c r="AK78" t="s">
        <v>716</v>
      </c>
      <c r="AL78" t="str">
        <f t="shared" si="33"/>
        <v>Y</v>
      </c>
      <c r="AM78" t="s">
        <v>717</v>
      </c>
      <c r="AN78" t="str">
        <f t="shared" si="34"/>
        <v>Y</v>
      </c>
      <c r="AO78" t="s">
        <v>718</v>
      </c>
      <c r="AP78" t="str">
        <f t="shared" si="35"/>
        <v>Y</v>
      </c>
      <c r="AQ78" t="s">
        <v>719</v>
      </c>
    </row>
    <row r="79" spans="1:43" x14ac:dyDescent="0.4">
      <c r="A79" s="7"/>
      <c r="B79" s="7"/>
      <c r="C79" s="7"/>
      <c r="D79" s="7"/>
      <c r="E79" s="7"/>
      <c r="F79" s="7"/>
      <c r="G79" s="37" t="s">
        <v>4375</v>
      </c>
      <c r="H79" s="5" t="str">
        <f t="shared" si="19"/>
        <v/>
      </c>
      <c r="I79" s="37" t="s">
        <v>4485</v>
      </c>
      <c r="J79" s="5" t="str">
        <f t="shared" si="20"/>
        <v/>
      </c>
      <c r="K79" s="37" t="s">
        <v>4624</v>
      </c>
      <c r="L79" s="5" t="str">
        <f t="shared" si="21"/>
        <v/>
      </c>
      <c r="M79" s="37" t="s">
        <v>4732</v>
      </c>
      <c r="N79" s="5" t="str">
        <f t="shared" si="22"/>
        <v/>
      </c>
      <c r="O79" s="37" t="s">
        <v>4842</v>
      </c>
      <c r="P79" s="5" t="str">
        <f t="shared" si="23"/>
        <v/>
      </c>
      <c r="Q79" s="37" t="s">
        <v>4981</v>
      </c>
      <c r="R79" s="5" t="str">
        <f t="shared" si="24"/>
        <v>petroleum</v>
      </c>
      <c r="S79" s="37" t="s">
        <v>5089</v>
      </c>
      <c r="T79" s="5" t="str">
        <f t="shared" si="25"/>
        <v/>
      </c>
      <c r="U79" s="37" t="s">
        <v>5190</v>
      </c>
      <c r="V79" s="5" t="str">
        <f t="shared" si="26"/>
        <v/>
      </c>
      <c r="W79" s="37" t="s">
        <v>5337</v>
      </c>
      <c r="X79" s="5" t="str">
        <f t="shared" si="27"/>
        <v/>
      </c>
      <c r="Z79" t="str">
        <f t="shared" si="36"/>
        <v>N</v>
      </c>
      <c r="AA79" t="s">
        <v>720</v>
      </c>
      <c r="AB79" t="str">
        <f t="shared" si="28"/>
        <v>Y</v>
      </c>
      <c r="AC79" t="s">
        <v>721</v>
      </c>
      <c r="AD79" t="str">
        <f t="shared" si="29"/>
        <v>Y</v>
      </c>
      <c r="AE79" t="s">
        <v>722</v>
      </c>
      <c r="AF79" t="str">
        <f t="shared" si="30"/>
        <v>Y</v>
      </c>
      <c r="AG79" t="s">
        <v>723</v>
      </c>
      <c r="AH79" t="str">
        <f t="shared" si="31"/>
        <v>Y</v>
      </c>
      <c r="AI79" t="s">
        <v>724</v>
      </c>
      <c r="AJ79" t="str">
        <f t="shared" si="32"/>
        <v>N</v>
      </c>
      <c r="AK79" t="s">
        <v>725</v>
      </c>
      <c r="AL79" t="str">
        <f t="shared" si="33"/>
        <v>Y</v>
      </c>
      <c r="AM79" t="s">
        <v>726</v>
      </c>
      <c r="AN79" t="str">
        <f t="shared" si="34"/>
        <v>Y</v>
      </c>
      <c r="AO79" t="s">
        <v>727</v>
      </c>
      <c r="AP79" t="str">
        <f t="shared" si="35"/>
        <v>Y</v>
      </c>
      <c r="AQ79" t="s">
        <v>728</v>
      </c>
    </row>
    <row r="80" spans="1:43" x14ac:dyDescent="0.4">
      <c r="A80" s="7"/>
      <c r="B80" s="7"/>
      <c r="C80" s="7"/>
      <c r="D80" s="7"/>
      <c r="E80" s="7"/>
      <c r="F80" s="7"/>
      <c r="G80" s="37" t="s">
        <v>4376</v>
      </c>
      <c r="H80" s="5" t="str">
        <f t="shared" si="19"/>
        <v/>
      </c>
      <c r="I80" s="37" t="s">
        <v>4486</v>
      </c>
      <c r="J80" s="5" t="str">
        <f t="shared" si="20"/>
        <v>complaint</v>
      </c>
      <c r="K80" s="37" t="s">
        <v>4625</v>
      </c>
      <c r="L80" s="5" t="str">
        <f t="shared" si="21"/>
        <v/>
      </c>
      <c r="M80" s="37" t="s">
        <v>4733</v>
      </c>
      <c r="N80" s="5" t="str">
        <f t="shared" si="22"/>
        <v/>
      </c>
      <c r="O80" s="37" t="s">
        <v>4843</v>
      </c>
      <c r="P80" s="5" t="str">
        <f t="shared" si="23"/>
        <v/>
      </c>
      <c r="Q80" s="37" t="s">
        <v>4982</v>
      </c>
      <c r="R80" s="5" t="str">
        <f t="shared" si="24"/>
        <v>philosopher</v>
      </c>
      <c r="S80" s="37" t="s">
        <v>5090</v>
      </c>
      <c r="T80" s="5" t="str">
        <f t="shared" si="25"/>
        <v>repetition</v>
      </c>
      <c r="U80" s="37" t="s">
        <v>5191</v>
      </c>
      <c r="V80" s="5" t="str">
        <f t="shared" si="26"/>
        <v/>
      </c>
      <c r="W80" s="37" t="s">
        <v>5338</v>
      </c>
      <c r="X80" s="5" t="str">
        <f t="shared" si="27"/>
        <v>umpire</v>
      </c>
      <c r="Z80" t="str">
        <f t="shared" si="36"/>
        <v>N</v>
      </c>
      <c r="AA80" t="s">
        <v>729</v>
      </c>
      <c r="AB80" t="str">
        <f t="shared" si="28"/>
        <v>N</v>
      </c>
      <c r="AC80" t="s">
        <v>730</v>
      </c>
      <c r="AD80" t="str">
        <f t="shared" si="29"/>
        <v>Y</v>
      </c>
      <c r="AE80" t="s">
        <v>731</v>
      </c>
      <c r="AF80" t="str">
        <f t="shared" si="30"/>
        <v>Y</v>
      </c>
      <c r="AG80" t="s">
        <v>732</v>
      </c>
      <c r="AH80" t="str">
        <f t="shared" si="31"/>
        <v>Y</v>
      </c>
      <c r="AI80" t="s">
        <v>733</v>
      </c>
      <c r="AJ80" t="str">
        <f t="shared" si="32"/>
        <v>N</v>
      </c>
      <c r="AK80" t="s">
        <v>734</v>
      </c>
      <c r="AL80" t="str">
        <f t="shared" si="33"/>
        <v>N</v>
      </c>
      <c r="AM80" t="s">
        <v>735</v>
      </c>
      <c r="AN80" t="str">
        <f t="shared" si="34"/>
        <v>Y</v>
      </c>
      <c r="AO80" t="s">
        <v>736</v>
      </c>
      <c r="AP80" t="str">
        <f t="shared" si="35"/>
        <v>N</v>
      </c>
      <c r="AQ80" t="s">
        <v>737</v>
      </c>
    </row>
    <row r="81" spans="1:43" x14ac:dyDescent="0.4">
      <c r="A81" s="7"/>
      <c r="B81" s="7"/>
      <c r="C81" s="7"/>
      <c r="D81" s="7"/>
      <c r="E81" s="7"/>
      <c r="F81" s="7"/>
      <c r="G81" s="37" t="s">
        <v>4377</v>
      </c>
      <c r="H81" s="5" t="str">
        <f t="shared" si="19"/>
        <v/>
      </c>
      <c r="I81" s="37" t="s">
        <v>4487</v>
      </c>
      <c r="J81" s="5" t="str">
        <f t="shared" si="20"/>
        <v/>
      </c>
      <c r="K81" s="37" t="s">
        <v>4626</v>
      </c>
      <c r="L81" s="5" t="str">
        <f t="shared" si="21"/>
        <v/>
      </c>
      <c r="M81" s="37" t="s">
        <v>4734</v>
      </c>
      <c r="N81" s="5" t="str">
        <f t="shared" si="22"/>
        <v/>
      </c>
      <c r="O81" s="37" t="s">
        <v>4844</v>
      </c>
      <c r="P81" s="5" t="str">
        <f t="shared" si="23"/>
        <v/>
      </c>
      <c r="Q81" s="37" t="s">
        <v>4983</v>
      </c>
      <c r="R81" s="5" t="str">
        <f t="shared" si="24"/>
        <v/>
      </c>
      <c r="S81" s="37" t="s">
        <v>5091</v>
      </c>
      <c r="T81" s="5" t="str">
        <f t="shared" si="25"/>
        <v/>
      </c>
      <c r="U81" s="37" t="s">
        <v>5190</v>
      </c>
      <c r="V81" s="5" t="str">
        <f t="shared" si="26"/>
        <v>slip</v>
      </c>
      <c r="W81" s="37" t="s">
        <v>5339</v>
      </c>
      <c r="X81" s="5" t="str">
        <f t="shared" si="27"/>
        <v/>
      </c>
      <c r="Z81" t="str">
        <f t="shared" si="36"/>
        <v>N</v>
      </c>
      <c r="AA81" t="s">
        <v>738</v>
      </c>
      <c r="AB81" t="str">
        <f t="shared" si="28"/>
        <v>Y</v>
      </c>
      <c r="AC81" t="s">
        <v>739</v>
      </c>
      <c r="AD81" t="str">
        <f t="shared" si="29"/>
        <v>Y</v>
      </c>
      <c r="AE81" s="36" t="s">
        <v>5404</v>
      </c>
      <c r="AF81" t="str">
        <f t="shared" si="30"/>
        <v>Y</v>
      </c>
      <c r="AG81" t="s">
        <v>740</v>
      </c>
      <c r="AH81" t="str">
        <f t="shared" si="31"/>
        <v>Y</v>
      </c>
      <c r="AI81" t="s">
        <v>741</v>
      </c>
      <c r="AJ81" t="str">
        <f t="shared" si="32"/>
        <v>Y</v>
      </c>
      <c r="AK81" t="s">
        <v>742</v>
      </c>
      <c r="AL81" t="str">
        <f t="shared" si="33"/>
        <v>Y</v>
      </c>
      <c r="AM81" t="s">
        <v>743</v>
      </c>
      <c r="AN81" t="str">
        <f t="shared" si="34"/>
        <v>N</v>
      </c>
      <c r="AO81" t="s">
        <v>744</v>
      </c>
      <c r="AP81" t="str">
        <f t="shared" si="35"/>
        <v>Y</v>
      </c>
      <c r="AQ81" t="s">
        <v>745</v>
      </c>
    </row>
    <row r="82" spans="1:43" x14ac:dyDescent="0.4">
      <c r="A82" s="7"/>
      <c r="B82" s="7"/>
      <c r="C82" s="7"/>
      <c r="D82" s="7"/>
      <c r="E82" s="7"/>
      <c r="F82" s="7"/>
      <c r="G82" s="37" t="s">
        <v>4378</v>
      </c>
      <c r="H82" s="5" t="str">
        <f t="shared" si="19"/>
        <v>bed sheet</v>
      </c>
      <c r="I82" s="37" t="s">
        <v>4488</v>
      </c>
      <c r="J82" s="5" t="str">
        <f t="shared" si="20"/>
        <v/>
      </c>
      <c r="K82" s="37" t="s">
        <v>4627</v>
      </c>
      <c r="L82" s="5" t="str">
        <f t="shared" si="21"/>
        <v/>
      </c>
      <c r="M82" s="37" t="s">
        <v>4735</v>
      </c>
      <c r="N82" s="5" t="str">
        <f t="shared" si="22"/>
        <v/>
      </c>
      <c r="O82" s="37" t="s">
        <v>4845</v>
      </c>
      <c r="P82" s="5" t="str">
        <f t="shared" si="23"/>
        <v/>
      </c>
      <c r="Q82" s="37" t="s">
        <v>4984</v>
      </c>
      <c r="R82" s="5" t="str">
        <f t="shared" si="24"/>
        <v/>
      </c>
      <c r="S82" s="37" t="s">
        <v>5092</v>
      </c>
      <c r="T82" s="5" t="str">
        <f t="shared" si="25"/>
        <v/>
      </c>
      <c r="U82" s="37" t="s">
        <v>5192</v>
      </c>
      <c r="V82" s="5" t="str">
        <f t="shared" si="26"/>
        <v>smell</v>
      </c>
      <c r="W82" s="37" t="s">
        <v>5340</v>
      </c>
      <c r="X82" s="5" t="str">
        <f t="shared" si="27"/>
        <v>utensil</v>
      </c>
      <c r="Z82" t="str">
        <f t="shared" si="36"/>
        <v>N</v>
      </c>
      <c r="AA82" t="s">
        <v>746</v>
      </c>
      <c r="AB82" t="str">
        <f t="shared" si="28"/>
        <v>Y</v>
      </c>
      <c r="AC82" t="s">
        <v>747</v>
      </c>
      <c r="AD82" t="str">
        <f t="shared" si="29"/>
        <v>Y</v>
      </c>
      <c r="AE82" t="s">
        <v>748</v>
      </c>
      <c r="AF82" t="str">
        <f t="shared" si="30"/>
        <v>Y</v>
      </c>
      <c r="AG82" t="s">
        <v>749</v>
      </c>
      <c r="AH82" t="str">
        <f t="shared" si="31"/>
        <v>Y</v>
      </c>
      <c r="AI82" t="s">
        <v>750</v>
      </c>
      <c r="AJ82" t="str">
        <f t="shared" si="32"/>
        <v>Y</v>
      </c>
      <c r="AK82" t="s">
        <v>751</v>
      </c>
      <c r="AL82" t="str">
        <f t="shared" si="33"/>
        <v>Y</v>
      </c>
      <c r="AM82" t="s">
        <v>752</v>
      </c>
      <c r="AN82" t="str">
        <f t="shared" si="34"/>
        <v>N</v>
      </c>
      <c r="AO82" t="s">
        <v>753</v>
      </c>
      <c r="AP82" t="str">
        <f t="shared" si="35"/>
        <v>N</v>
      </c>
      <c r="AQ82" t="s">
        <v>754</v>
      </c>
    </row>
    <row r="83" spans="1:43" x14ac:dyDescent="0.4">
      <c r="A83" s="7"/>
      <c r="B83" s="7"/>
      <c r="C83" s="7"/>
      <c r="D83" s="7"/>
      <c r="E83" s="7"/>
      <c r="F83" s="7"/>
      <c r="G83" s="37" t="s">
        <v>4379</v>
      </c>
      <c r="H83" s="5" t="str">
        <f t="shared" si="19"/>
        <v/>
      </c>
      <c r="I83" s="37" t="s">
        <v>4489</v>
      </c>
      <c r="J83" s="5" t="str">
        <f t="shared" si="20"/>
        <v/>
      </c>
      <c r="K83" s="37" t="s">
        <v>4628</v>
      </c>
      <c r="L83" s="5" t="str">
        <f t="shared" si="21"/>
        <v/>
      </c>
      <c r="M83" s="37" t="s">
        <v>4736</v>
      </c>
      <c r="N83" s="5" t="str">
        <f t="shared" si="22"/>
        <v/>
      </c>
      <c r="O83" s="37" t="s">
        <v>4846</v>
      </c>
      <c r="P83" s="5" t="str">
        <f t="shared" si="23"/>
        <v/>
      </c>
      <c r="Q83" s="37" t="s">
        <v>4985</v>
      </c>
      <c r="R83" s="5" t="str">
        <f t="shared" si="24"/>
        <v/>
      </c>
      <c r="S83" s="37" t="s">
        <v>5093</v>
      </c>
      <c r="T83" s="5" t="str">
        <f t="shared" si="25"/>
        <v/>
      </c>
      <c r="U83" s="37" t="s">
        <v>5193</v>
      </c>
      <c r="V83" s="5" t="str">
        <f t="shared" si="26"/>
        <v/>
      </c>
      <c r="W83" s="37" t="s">
        <v>5341</v>
      </c>
      <c r="X83" s="5" t="str">
        <f t="shared" si="27"/>
        <v/>
      </c>
      <c r="Z83" t="str">
        <f t="shared" si="36"/>
        <v>N</v>
      </c>
      <c r="AA83" t="s">
        <v>755</v>
      </c>
      <c r="AB83" t="str">
        <f t="shared" si="28"/>
        <v>Y</v>
      </c>
      <c r="AC83" t="s">
        <v>756</v>
      </c>
      <c r="AD83" t="str">
        <f t="shared" si="29"/>
        <v>Y</v>
      </c>
      <c r="AE83" t="s">
        <v>757</v>
      </c>
      <c r="AF83" t="str">
        <f t="shared" si="30"/>
        <v>Y</v>
      </c>
      <c r="AG83" t="s">
        <v>758</v>
      </c>
      <c r="AH83" t="str">
        <f t="shared" si="31"/>
        <v>Y</v>
      </c>
      <c r="AI83" t="s">
        <v>759</v>
      </c>
      <c r="AJ83" t="str">
        <f t="shared" si="32"/>
        <v>Y</v>
      </c>
      <c r="AK83" t="s">
        <v>760</v>
      </c>
      <c r="AL83" t="str">
        <f t="shared" si="33"/>
        <v>Y</v>
      </c>
      <c r="AM83" t="s">
        <v>761</v>
      </c>
      <c r="AN83" t="str">
        <f t="shared" si="34"/>
        <v>Y</v>
      </c>
      <c r="AO83" t="s">
        <v>762</v>
      </c>
      <c r="AP83" t="str">
        <f t="shared" si="35"/>
        <v>Y</v>
      </c>
      <c r="AQ83" t="s">
        <v>763</v>
      </c>
    </row>
    <row r="84" spans="1:43" x14ac:dyDescent="0.4">
      <c r="A84" s="7"/>
      <c r="B84" s="7"/>
      <c r="C84" s="7"/>
      <c r="D84" s="7"/>
      <c r="E84" s="7"/>
      <c r="F84" s="7"/>
      <c r="G84" s="37" t="s">
        <v>4380</v>
      </c>
      <c r="H84" s="5" t="str">
        <f t="shared" si="19"/>
        <v>behaviors</v>
      </c>
      <c r="I84" s="37" t="s">
        <v>4490</v>
      </c>
      <c r="J84" s="5" t="str">
        <f t="shared" si="20"/>
        <v/>
      </c>
      <c r="K84" s="37" t="s">
        <v>4629</v>
      </c>
      <c r="L84" s="5" t="str">
        <f t="shared" si="21"/>
        <v/>
      </c>
      <c r="M84" s="37" t="s">
        <v>4737</v>
      </c>
      <c r="N84" s="5" t="str">
        <f t="shared" si="22"/>
        <v/>
      </c>
      <c r="O84" s="37" t="s">
        <v>4847</v>
      </c>
      <c r="P84" s="5" t="str">
        <f t="shared" si="23"/>
        <v/>
      </c>
      <c r="Q84" s="37" t="s">
        <v>4986</v>
      </c>
      <c r="R84" s="5" t="str">
        <f t="shared" si="24"/>
        <v/>
      </c>
      <c r="S84" s="37" t="s">
        <v>5094</v>
      </c>
      <c r="T84" s="5" t="str">
        <f t="shared" si="25"/>
        <v/>
      </c>
      <c r="U84" s="37" t="s">
        <v>5194</v>
      </c>
      <c r="V84" s="5" t="str">
        <f t="shared" si="26"/>
        <v/>
      </c>
      <c r="W84" s="37" t="s">
        <v>5342</v>
      </c>
      <c r="X84" s="5" t="str">
        <f t="shared" si="27"/>
        <v/>
      </c>
      <c r="Z84" t="str">
        <f t="shared" si="36"/>
        <v>N</v>
      </c>
      <c r="AA84" t="s">
        <v>764</v>
      </c>
      <c r="AB84" t="str">
        <f t="shared" si="28"/>
        <v>Y</v>
      </c>
      <c r="AC84" t="s">
        <v>765</v>
      </c>
      <c r="AD84" t="str">
        <f t="shared" si="29"/>
        <v>Y</v>
      </c>
      <c r="AE84" t="s">
        <v>766</v>
      </c>
      <c r="AF84" t="str">
        <f t="shared" si="30"/>
        <v>Y</v>
      </c>
      <c r="AG84" t="s">
        <v>767</v>
      </c>
      <c r="AH84" t="str">
        <f t="shared" si="31"/>
        <v>Y</v>
      </c>
      <c r="AI84" t="s">
        <v>768</v>
      </c>
      <c r="AJ84" t="str">
        <f t="shared" si="32"/>
        <v>Y</v>
      </c>
      <c r="AK84" t="s">
        <v>769</v>
      </c>
      <c r="AL84" t="str">
        <f t="shared" si="33"/>
        <v>Y</v>
      </c>
      <c r="AM84" t="s">
        <v>770</v>
      </c>
      <c r="AN84" t="str">
        <f t="shared" si="34"/>
        <v>Y</v>
      </c>
      <c r="AO84" t="s">
        <v>771</v>
      </c>
      <c r="AP84" t="str">
        <f t="shared" si="35"/>
        <v>Y</v>
      </c>
      <c r="AQ84" t="s">
        <v>772</v>
      </c>
    </row>
    <row r="85" spans="1:43" x14ac:dyDescent="0.4">
      <c r="A85" s="7"/>
      <c r="B85" s="7"/>
      <c r="C85" s="7"/>
      <c r="D85" s="7"/>
      <c r="E85" s="7"/>
      <c r="F85" s="7"/>
      <c r="G85" s="37" t="s">
        <v>4381</v>
      </c>
      <c r="H85" s="5" t="str">
        <f t="shared" si="19"/>
        <v/>
      </c>
      <c r="I85" s="37" t="s">
        <v>4491</v>
      </c>
      <c r="J85" s="5" t="str">
        <f t="shared" si="20"/>
        <v/>
      </c>
      <c r="K85" s="37" t="s">
        <v>4630</v>
      </c>
      <c r="L85" s="5" t="str">
        <f t="shared" si="21"/>
        <v/>
      </c>
      <c r="M85" s="37" t="s">
        <v>4738</v>
      </c>
      <c r="N85" s="5" t="str">
        <f t="shared" si="22"/>
        <v/>
      </c>
      <c r="O85" s="37" t="s">
        <v>4848</v>
      </c>
      <c r="P85" s="5" t="str">
        <f t="shared" si="23"/>
        <v>line</v>
      </c>
      <c r="Q85" s="37" t="s">
        <v>4987</v>
      </c>
      <c r="R85" s="5" t="str">
        <f t="shared" si="24"/>
        <v>pianist</v>
      </c>
      <c r="S85" s="37" t="s">
        <v>5095</v>
      </c>
      <c r="T85" s="5" t="str">
        <f t="shared" si="25"/>
        <v/>
      </c>
      <c r="U85" s="37" t="s">
        <v>5195</v>
      </c>
      <c r="V85" s="5" t="str">
        <f t="shared" si="26"/>
        <v/>
      </c>
      <c r="W85" s="37" t="s">
        <v>5343</v>
      </c>
      <c r="X85" s="5" t="str">
        <f t="shared" si="27"/>
        <v/>
      </c>
      <c r="Z85" t="str">
        <f t="shared" si="36"/>
        <v>N</v>
      </c>
      <c r="AA85" t="s">
        <v>773</v>
      </c>
      <c r="AB85" t="str">
        <f t="shared" si="28"/>
        <v>Y</v>
      </c>
      <c r="AC85" t="s">
        <v>774</v>
      </c>
      <c r="AD85" t="str">
        <f t="shared" si="29"/>
        <v>Y</v>
      </c>
      <c r="AE85" t="s">
        <v>775</v>
      </c>
      <c r="AF85" t="str">
        <f t="shared" si="30"/>
        <v>Y</v>
      </c>
      <c r="AG85" t="s">
        <v>776</v>
      </c>
      <c r="AH85" t="str">
        <f t="shared" si="31"/>
        <v>N</v>
      </c>
      <c r="AI85" t="s">
        <v>777</v>
      </c>
      <c r="AJ85" t="str">
        <f t="shared" si="32"/>
        <v>N</v>
      </c>
      <c r="AK85" t="s">
        <v>778</v>
      </c>
      <c r="AL85" t="str">
        <f t="shared" si="33"/>
        <v>Y</v>
      </c>
      <c r="AM85" t="s">
        <v>779</v>
      </c>
      <c r="AN85" t="str">
        <f t="shared" si="34"/>
        <v>Y</v>
      </c>
      <c r="AO85" t="s">
        <v>780</v>
      </c>
      <c r="AP85" t="str">
        <f t="shared" si="35"/>
        <v>Y</v>
      </c>
      <c r="AQ85" t="s">
        <v>781</v>
      </c>
    </row>
    <row r="86" spans="1:43" x14ac:dyDescent="0.4">
      <c r="A86" s="7"/>
      <c r="B86" s="7"/>
      <c r="C86" s="7"/>
      <c r="D86" s="7"/>
      <c r="E86" s="7"/>
      <c r="F86" s="7"/>
      <c r="G86" s="37" t="s">
        <v>4382</v>
      </c>
      <c r="H86" s="5" t="str">
        <f t="shared" si="19"/>
        <v/>
      </c>
      <c r="I86" s="37" t="s">
        <v>4492</v>
      </c>
      <c r="J86" s="5" t="str">
        <f t="shared" si="20"/>
        <v>conferences</v>
      </c>
      <c r="K86" s="37" t="s">
        <v>4631</v>
      </c>
      <c r="L86" s="5" t="str">
        <f t="shared" si="21"/>
        <v/>
      </c>
      <c r="M86" s="37" t="s">
        <v>4739</v>
      </c>
      <c r="N86" s="5" t="str">
        <f t="shared" si="22"/>
        <v/>
      </c>
      <c r="O86" s="37" t="s">
        <v>4848</v>
      </c>
      <c r="P86" s="5" t="str">
        <f t="shared" si="23"/>
        <v/>
      </c>
      <c r="Q86" s="37" t="s">
        <v>4988</v>
      </c>
      <c r="R86" s="5" t="str">
        <f t="shared" si="24"/>
        <v>piano</v>
      </c>
      <c r="S86" s="37" t="s">
        <v>5096</v>
      </c>
      <c r="T86" s="5" t="str">
        <f t="shared" si="25"/>
        <v/>
      </c>
      <c r="U86" s="37" t="s">
        <v>5196</v>
      </c>
      <c r="V86" s="5" t="str">
        <f t="shared" si="26"/>
        <v/>
      </c>
      <c r="W86" s="37" t="s">
        <v>5344</v>
      </c>
      <c r="X86" s="5" t="str">
        <f t="shared" si="27"/>
        <v/>
      </c>
      <c r="Z86" t="str">
        <f t="shared" si="36"/>
        <v>N</v>
      </c>
      <c r="AA86" t="s">
        <v>782</v>
      </c>
      <c r="AB86" t="str">
        <f t="shared" si="28"/>
        <v>N</v>
      </c>
      <c r="AC86" t="s">
        <v>783</v>
      </c>
      <c r="AD86" t="str">
        <f t="shared" si="29"/>
        <v>Y</v>
      </c>
      <c r="AE86" t="s">
        <v>784</v>
      </c>
      <c r="AF86" t="str">
        <f t="shared" si="30"/>
        <v>Y</v>
      </c>
      <c r="AG86" t="s">
        <v>785</v>
      </c>
      <c r="AH86" t="str">
        <f t="shared" si="31"/>
        <v>Y</v>
      </c>
      <c r="AI86" t="s">
        <v>786</v>
      </c>
      <c r="AJ86" t="str">
        <f t="shared" si="32"/>
        <v>N</v>
      </c>
      <c r="AK86" t="s">
        <v>787</v>
      </c>
      <c r="AL86" t="str">
        <f t="shared" si="33"/>
        <v>Y</v>
      </c>
      <c r="AM86" t="s">
        <v>788</v>
      </c>
      <c r="AN86" t="str">
        <f t="shared" si="34"/>
        <v>Y</v>
      </c>
      <c r="AO86" t="s">
        <v>789</v>
      </c>
      <c r="AP86" t="str">
        <f t="shared" si="35"/>
        <v>Y</v>
      </c>
      <c r="AQ86" t="s">
        <v>790</v>
      </c>
    </row>
    <row r="87" spans="1:43" x14ac:dyDescent="0.4">
      <c r="A87" s="7"/>
      <c r="B87" s="7"/>
      <c r="C87" s="7"/>
      <c r="D87" s="7"/>
      <c r="E87" s="7"/>
      <c r="F87" s="7"/>
      <c r="G87" s="37" t="s">
        <v>4383</v>
      </c>
      <c r="H87" s="5" t="str">
        <f t="shared" si="19"/>
        <v>beverage</v>
      </c>
      <c r="I87" s="37" t="s">
        <v>4493</v>
      </c>
      <c r="J87" s="5" t="str">
        <f t="shared" si="20"/>
        <v/>
      </c>
      <c r="K87" s="37" t="s">
        <v>4632</v>
      </c>
      <c r="L87" s="5" t="str">
        <f t="shared" si="21"/>
        <v>epidemic</v>
      </c>
      <c r="M87" s="37" t="s">
        <v>4740</v>
      </c>
      <c r="N87" s="5" t="str">
        <f t="shared" si="22"/>
        <v/>
      </c>
      <c r="O87" s="37" t="s">
        <v>4849</v>
      </c>
      <c r="P87" s="5" t="str">
        <f t="shared" si="23"/>
        <v/>
      </c>
      <c r="Q87" s="37" t="s">
        <v>4989</v>
      </c>
      <c r="R87" s="5" t="str">
        <f t="shared" si="24"/>
        <v/>
      </c>
      <c r="S87" s="37" t="s">
        <v>5097</v>
      </c>
      <c r="T87" s="5" t="str">
        <f t="shared" si="25"/>
        <v>residence</v>
      </c>
      <c r="U87" s="37" t="s">
        <v>5197</v>
      </c>
      <c r="V87" s="5" t="str">
        <f t="shared" si="26"/>
        <v/>
      </c>
      <c r="W87" s="37" t="s">
        <v>5345</v>
      </c>
      <c r="X87" s="5" t="str">
        <f t="shared" si="27"/>
        <v>vacancy</v>
      </c>
      <c r="Z87" t="str">
        <f t="shared" si="36"/>
        <v>N</v>
      </c>
      <c r="AA87" t="s">
        <v>791</v>
      </c>
      <c r="AB87" t="str">
        <f t="shared" si="28"/>
        <v>Y</v>
      </c>
      <c r="AC87" t="s">
        <v>792</v>
      </c>
      <c r="AD87" t="str">
        <f t="shared" si="29"/>
        <v>N</v>
      </c>
      <c r="AE87" t="s">
        <v>793</v>
      </c>
      <c r="AF87" t="str">
        <f t="shared" si="30"/>
        <v>Y</v>
      </c>
      <c r="AG87" t="s">
        <v>794</v>
      </c>
      <c r="AH87" t="str">
        <f t="shared" si="31"/>
        <v>Y</v>
      </c>
      <c r="AI87" t="s">
        <v>795</v>
      </c>
      <c r="AJ87" t="str">
        <f t="shared" si="32"/>
        <v>Y</v>
      </c>
      <c r="AK87" t="s">
        <v>796</v>
      </c>
      <c r="AL87" t="str">
        <f t="shared" si="33"/>
        <v>N</v>
      </c>
      <c r="AM87" t="s">
        <v>797</v>
      </c>
      <c r="AN87" t="str">
        <f t="shared" si="34"/>
        <v>Y</v>
      </c>
      <c r="AO87" t="s">
        <v>798</v>
      </c>
      <c r="AP87" t="str">
        <f t="shared" si="35"/>
        <v>N</v>
      </c>
      <c r="AQ87" t="s">
        <v>799</v>
      </c>
    </row>
    <row r="88" spans="1:43" x14ac:dyDescent="0.4">
      <c r="A88" s="7"/>
      <c r="B88" s="7"/>
      <c r="C88" s="7"/>
      <c r="D88" s="7"/>
      <c r="E88" s="7"/>
      <c r="F88" s="7"/>
      <c r="G88" s="37" t="s">
        <v>4384</v>
      </c>
      <c r="H88" s="5" t="str">
        <f t="shared" si="19"/>
        <v>bibliography</v>
      </c>
      <c r="I88" s="37" t="s">
        <v>4494</v>
      </c>
      <c r="J88" s="5" t="str">
        <f t="shared" si="20"/>
        <v/>
      </c>
      <c r="K88" s="37" t="s">
        <v>4633</v>
      </c>
      <c r="L88" s="5" t="str">
        <f t="shared" si="21"/>
        <v/>
      </c>
      <c r="M88" s="37" t="s">
        <v>4741</v>
      </c>
      <c r="N88" s="5" t="str">
        <f t="shared" si="22"/>
        <v/>
      </c>
      <c r="O88" s="37" t="s">
        <v>4850</v>
      </c>
      <c r="P88" s="5" t="str">
        <f t="shared" si="23"/>
        <v>loan</v>
      </c>
      <c r="Q88" s="37" t="s">
        <v>4990</v>
      </c>
      <c r="R88" s="5" t="str">
        <f t="shared" si="24"/>
        <v/>
      </c>
      <c r="S88" s="37" t="s">
        <v>5098</v>
      </c>
      <c r="T88" s="5" t="str">
        <f t="shared" si="25"/>
        <v/>
      </c>
      <c r="U88" s="37" t="s">
        <v>5198</v>
      </c>
      <c r="V88" s="5" t="str">
        <f t="shared" si="26"/>
        <v/>
      </c>
      <c r="W88" s="37" t="s">
        <v>5346</v>
      </c>
      <c r="X88" s="5" t="str">
        <f t="shared" si="27"/>
        <v/>
      </c>
      <c r="Z88" t="str">
        <f t="shared" si="36"/>
        <v>N</v>
      </c>
      <c r="AA88" t="s">
        <v>800</v>
      </c>
      <c r="AB88" t="str">
        <f t="shared" si="28"/>
        <v>Y</v>
      </c>
      <c r="AC88" t="s">
        <v>801</v>
      </c>
      <c r="AD88" t="str">
        <f t="shared" si="29"/>
        <v>Y</v>
      </c>
      <c r="AE88" t="s">
        <v>802</v>
      </c>
      <c r="AF88" t="str">
        <f t="shared" si="30"/>
        <v>Y</v>
      </c>
      <c r="AG88" t="s">
        <v>803</v>
      </c>
      <c r="AH88" t="str">
        <f t="shared" si="31"/>
        <v>N</v>
      </c>
      <c r="AI88" t="s">
        <v>804</v>
      </c>
      <c r="AJ88" t="str">
        <f t="shared" si="32"/>
        <v>Y</v>
      </c>
      <c r="AK88" t="s">
        <v>805</v>
      </c>
      <c r="AL88" t="str">
        <f t="shared" si="33"/>
        <v>Y</v>
      </c>
      <c r="AM88" t="s">
        <v>806</v>
      </c>
      <c r="AN88" t="str">
        <f t="shared" si="34"/>
        <v>Y</v>
      </c>
      <c r="AO88" t="s">
        <v>807</v>
      </c>
      <c r="AP88" t="str">
        <f t="shared" si="35"/>
        <v>Y</v>
      </c>
      <c r="AQ88" t="s">
        <v>808</v>
      </c>
    </row>
    <row r="89" spans="1:43" x14ac:dyDescent="0.4">
      <c r="A89" s="7"/>
      <c r="B89" s="7"/>
      <c r="C89" s="7"/>
      <c r="D89" s="7"/>
      <c r="E89" s="7"/>
      <c r="F89" s="7"/>
      <c r="G89" s="37" t="s">
        <v>4385</v>
      </c>
      <c r="H89" s="5" t="str">
        <f t="shared" si="19"/>
        <v/>
      </c>
      <c r="I89" s="37" t="s">
        <v>4495</v>
      </c>
      <c r="J89" s="5" t="str">
        <f t="shared" si="20"/>
        <v/>
      </c>
      <c r="K89" s="37" t="s">
        <v>4634</v>
      </c>
      <c r="L89" s="5" t="str">
        <f t="shared" si="21"/>
        <v/>
      </c>
      <c r="M89" s="37" t="s">
        <v>4742</v>
      </c>
      <c r="N89" s="5" t="str">
        <f t="shared" si="22"/>
        <v/>
      </c>
      <c r="O89" s="37" t="s">
        <v>4851</v>
      </c>
      <c r="P89" s="5" t="str">
        <f t="shared" si="23"/>
        <v/>
      </c>
      <c r="Q89" s="37" t="s">
        <v>4991</v>
      </c>
      <c r="R89" s="5" t="str">
        <f t="shared" si="24"/>
        <v/>
      </c>
      <c r="S89" s="37" t="s">
        <v>5099</v>
      </c>
      <c r="T89" s="5" t="str">
        <f t="shared" si="25"/>
        <v/>
      </c>
      <c r="U89" s="37" t="s">
        <v>5131</v>
      </c>
      <c r="V89" s="5" t="str">
        <f t="shared" si="26"/>
        <v/>
      </c>
      <c r="W89" s="37" t="s">
        <v>5347</v>
      </c>
      <c r="X89" s="5" t="str">
        <f t="shared" si="27"/>
        <v/>
      </c>
      <c r="Z89" t="str">
        <f t="shared" si="36"/>
        <v>N</v>
      </c>
      <c r="AA89" t="s">
        <v>809</v>
      </c>
      <c r="AB89" t="str">
        <f t="shared" si="28"/>
        <v>Y</v>
      </c>
      <c r="AC89" t="s">
        <v>810</v>
      </c>
      <c r="AD89" t="str">
        <f t="shared" si="29"/>
        <v>Y</v>
      </c>
      <c r="AE89" t="s">
        <v>811</v>
      </c>
      <c r="AF89" t="str">
        <f t="shared" si="30"/>
        <v>Y</v>
      </c>
      <c r="AG89" t="s">
        <v>812</v>
      </c>
      <c r="AH89" t="str">
        <f t="shared" si="31"/>
        <v>Y</v>
      </c>
      <c r="AI89" t="s">
        <v>813</v>
      </c>
      <c r="AJ89" t="str">
        <f t="shared" si="32"/>
        <v>Y</v>
      </c>
      <c r="AK89" t="s">
        <v>814</v>
      </c>
      <c r="AL89" t="str">
        <f t="shared" si="33"/>
        <v>Y</v>
      </c>
      <c r="AM89" t="s">
        <v>815</v>
      </c>
      <c r="AN89" t="str">
        <f t="shared" si="34"/>
        <v>Y</v>
      </c>
      <c r="AO89" t="s">
        <v>816</v>
      </c>
      <c r="AP89" t="str">
        <f t="shared" si="35"/>
        <v>Y</v>
      </c>
      <c r="AQ89" t="s">
        <v>817</v>
      </c>
    </row>
    <row r="90" spans="1:43" x14ac:dyDescent="0.4">
      <c r="A90" s="7"/>
      <c r="B90" s="7"/>
      <c r="C90" s="7"/>
      <c r="D90" s="7"/>
      <c r="E90" s="7"/>
      <c r="F90" s="7"/>
      <c r="G90" s="37" t="s">
        <v>4386</v>
      </c>
      <c r="H90" s="5" t="str">
        <f t="shared" si="19"/>
        <v/>
      </c>
      <c r="I90" s="37" t="s">
        <v>4496</v>
      </c>
      <c r="J90" s="5" t="str">
        <f t="shared" si="20"/>
        <v>conqueror</v>
      </c>
      <c r="K90" s="37" t="s">
        <v>4635</v>
      </c>
      <c r="L90" s="5" t="str">
        <f t="shared" si="21"/>
        <v/>
      </c>
      <c r="M90" s="37" t="s">
        <v>4743</v>
      </c>
      <c r="N90" s="5" t="str">
        <f t="shared" si="22"/>
        <v/>
      </c>
      <c r="O90" s="37" t="s">
        <v>4852</v>
      </c>
      <c r="P90" s="5" t="str">
        <f t="shared" si="23"/>
        <v>lock</v>
      </c>
      <c r="Q90" s="37" t="s">
        <v>4992</v>
      </c>
      <c r="R90" s="5" t="str">
        <f t="shared" si="24"/>
        <v/>
      </c>
      <c r="S90" s="37" t="s">
        <v>5100</v>
      </c>
      <c r="T90" s="5" t="str">
        <f t="shared" si="25"/>
        <v/>
      </c>
      <c r="U90" s="37" t="s">
        <v>5199</v>
      </c>
      <c r="V90" s="5" t="str">
        <f t="shared" si="26"/>
        <v/>
      </c>
      <c r="W90" s="37" t="s">
        <v>5348</v>
      </c>
      <c r="X90" s="5" t="str">
        <f t="shared" si="27"/>
        <v>particulars</v>
      </c>
      <c r="Z90" t="str">
        <f t="shared" si="36"/>
        <v>N</v>
      </c>
      <c r="AA90" t="s">
        <v>818</v>
      </c>
      <c r="AB90" t="str">
        <f t="shared" si="28"/>
        <v>N</v>
      </c>
      <c r="AC90" t="s">
        <v>819</v>
      </c>
      <c r="AD90" t="str">
        <f t="shared" si="29"/>
        <v>Y</v>
      </c>
      <c r="AE90" t="s">
        <v>820</v>
      </c>
      <c r="AF90" t="str">
        <f t="shared" si="30"/>
        <v>Y</v>
      </c>
      <c r="AG90" t="s">
        <v>821</v>
      </c>
      <c r="AH90" t="str">
        <f t="shared" si="31"/>
        <v>N</v>
      </c>
      <c r="AI90" t="s">
        <v>822</v>
      </c>
      <c r="AJ90" t="str">
        <f t="shared" si="32"/>
        <v>Y</v>
      </c>
      <c r="AK90" t="s">
        <v>823</v>
      </c>
      <c r="AL90" t="str">
        <f t="shared" si="33"/>
        <v>Y</v>
      </c>
      <c r="AM90" t="s">
        <v>824</v>
      </c>
      <c r="AN90" t="str">
        <f t="shared" si="34"/>
        <v>Y</v>
      </c>
      <c r="AO90" t="s">
        <v>825</v>
      </c>
      <c r="AP90" t="str">
        <f t="shared" si="35"/>
        <v>N</v>
      </c>
      <c r="AQ90" t="s">
        <v>826</v>
      </c>
    </row>
    <row r="91" spans="1:43" x14ac:dyDescent="0.4">
      <c r="A91" s="7"/>
      <c r="B91" s="7"/>
      <c r="C91" s="7"/>
      <c r="D91" s="7"/>
      <c r="E91" s="7"/>
      <c r="F91" s="7"/>
      <c r="G91" s="37" t="s">
        <v>4387</v>
      </c>
      <c r="H91" s="5" t="str">
        <f t="shared" si="19"/>
        <v/>
      </c>
      <c r="I91" s="37" t="s">
        <v>4497</v>
      </c>
      <c r="J91" s="5" t="str">
        <f t="shared" si="20"/>
        <v/>
      </c>
      <c r="K91" s="37" t="s">
        <v>4636</v>
      </c>
      <c r="L91" s="5" t="str">
        <f t="shared" si="21"/>
        <v>event</v>
      </c>
      <c r="M91" s="37" t="s">
        <v>4744</v>
      </c>
      <c r="N91" s="5" t="str">
        <f t="shared" si="22"/>
        <v/>
      </c>
      <c r="O91" s="37" t="s">
        <v>4853</v>
      </c>
      <c r="P91" s="5" t="str">
        <f t="shared" si="23"/>
        <v>loss</v>
      </c>
      <c r="Q91" s="37" t="s">
        <v>4993</v>
      </c>
      <c r="R91" s="5" t="str">
        <f t="shared" si="24"/>
        <v/>
      </c>
      <c r="S91" s="37" t="s">
        <v>5101</v>
      </c>
      <c r="T91" s="5" t="str">
        <f t="shared" si="25"/>
        <v/>
      </c>
      <c r="U91" s="37" t="s">
        <v>5200</v>
      </c>
      <c r="V91" s="5" t="str">
        <f t="shared" si="26"/>
        <v/>
      </c>
      <c r="W91" s="37" t="s">
        <v>5349</v>
      </c>
      <c r="X91" s="5" t="str">
        <f t="shared" si="27"/>
        <v/>
      </c>
      <c r="Z91" t="str">
        <f t="shared" si="36"/>
        <v>N</v>
      </c>
      <c r="AA91" t="s">
        <v>827</v>
      </c>
      <c r="AB91" t="str">
        <f t="shared" si="28"/>
        <v>Y</v>
      </c>
      <c r="AC91" t="s">
        <v>828</v>
      </c>
      <c r="AD91" t="str">
        <f t="shared" si="29"/>
        <v>N</v>
      </c>
      <c r="AE91" t="s">
        <v>829</v>
      </c>
      <c r="AF91" t="str">
        <f t="shared" si="30"/>
        <v>Y</v>
      </c>
      <c r="AG91" t="s">
        <v>830</v>
      </c>
      <c r="AH91" t="str">
        <f t="shared" si="31"/>
        <v>N</v>
      </c>
      <c r="AI91" t="s">
        <v>831</v>
      </c>
      <c r="AJ91" t="str">
        <f t="shared" si="32"/>
        <v>Y</v>
      </c>
      <c r="AK91" t="s">
        <v>832</v>
      </c>
      <c r="AL91" t="str">
        <f t="shared" si="33"/>
        <v>Y</v>
      </c>
      <c r="AM91" t="s">
        <v>833</v>
      </c>
      <c r="AN91" t="str">
        <f t="shared" si="34"/>
        <v>Y</v>
      </c>
      <c r="AO91" t="s">
        <v>834</v>
      </c>
      <c r="AP91" t="str">
        <f t="shared" si="35"/>
        <v>Y</v>
      </c>
      <c r="AQ91" t="s">
        <v>835</v>
      </c>
    </row>
    <row r="92" spans="1:43" x14ac:dyDescent="0.4">
      <c r="A92" s="7"/>
      <c r="B92" s="7"/>
      <c r="C92" s="7"/>
      <c r="D92" s="7"/>
      <c r="E92" s="7"/>
      <c r="F92" s="7"/>
      <c r="G92" s="37" t="s">
        <v>4388</v>
      </c>
      <c r="H92" s="5" t="str">
        <f t="shared" si="19"/>
        <v/>
      </c>
      <c r="I92" s="37" t="s">
        <v>4498</v>
      </c>
      <c r="J92" s="5" t="str">
        <f t="shared" si="20"/>
        <v>conversation</v>
      </c>
      <c r="K92" s="37" t="s">
        <v>4637</v>
      </c>
      <c r="L92" s="5" t="str">
        <f t="shared" si="21"/>
        <v/>
      </c>
      <c r="M92" s="37" t="s">
        <v>4745</v>
      </c>
      <c r="N92" s="5" t="str">
        <f t="shared" si="22"/>
        <v/>
      </c>
      <c r="O92" s="37" t="s">
        <v>4854</v>
      </c>
      <c r="P92" s="5" t="str">
        <f t="shared" si="23"/>
        <v/>
      </c>
      <c r="Q92" s="37" t="s">
        <v>4994</v>
      </c>
      <c r="R92" s="5" t="str">
        <f t="shared" si="24"/>
        <v/>
      </c>
      <c r="S92" s="37" t="s">
        <v>5102</v>
      </c>
      <c r="T92" s="5" t="str">
        <f t="shared" si="25"/>
        <v/>
      </c>
      <c r="U92" s="37" t="s">
        <v>5201</v>
      </c>
      <c r="V92" s="5" t="str">
        <f t="shared" si="26"/>
        <v/>
      </c>
      <c r="W92" s="37" t="s">
        <v>5350</v>
      </c>
      <c r="X92" s="5" t="str">
        <f t="shared" si="27"/>
        <v/>
      </c>
      <c r="Z92" t="str">
        <f t="shared" si="36"/>
        <v>N</v>
      </c>
      <c r="AA92" t="s">
        <v>836</v>
      </c>
      <c r="AB92" t="str">
        <f t="shared" si="28"/>
        <v>N</v>
      </c>
      <c r="AC92" t="s">
        <v>837</v>
      </c>
      <c r="AD92" t="str">
        <f t="shared" si="29"/>
        <v>Y</v>
      </c>
      <c r="AE92" t="s">
        <v>838</v>
      </c>
      <c r="AF92" t="str">
        <f t="shared" si="30"/>
        <v>Y</v>
      </c>
      <c r="AG92" t="s">
        <v>839</v>
      </c>
      <c r="AH92" t="str">
        <f t="shared" si="31"/>
        <v>Y</v>
      </c>
      <c r="AI92" t="s">
        <v>840</v>
      </c>
      <c r="AJ92" t="str">
        <f t="shared" si="32"/>
        <v>Y</v>
      </c>
      <c r="AK92" t="s">
        <v>841</v>
      </c>
      <c r="AL92" t="str">
        <f t="shared" si="33"/>
        <v>Y</v>
      </c>
      <c r="AM92" t="s">
        <v>842</v>
      </c>
      <c r="AN92" t="str">
        <f t="shared" si="34"/>
        <v>Y</v>
      </c>
      <c r="AO92" t="s">
        <v>843</v>
      </c>
      <c r="AP92" t="str">
        <f t="shared" si="35"/>
        <v>Y</v>
      </c>
      <c r="AQ92" t="s">
        <v>844</v>
      </c>
    </row>
    <row r="93" spans="1:43" x14ac:dyDescent="0.4">
      <c r="A93" s="7"/>
      <c r="B93" s="7"/>
      <c r="C93" s="7"/>
      <c r="D93" s="7"/>
      <c r="E93" s="7"/>
      <c r="F93" s="7"/>
      <c r="G93" s="37" t="s">
        <v>4389</v>
      </c>
      <c r="H93" s="5" t="str">
        <f t="shared" si="19"/>
        <v/>
      </c>
      <c r="I93" s="37" t="s">
        <v>4498</v>
      </c>
      <c r="J93" s="5" t="str">
        <f t="shared" si="20"/>
        <v/>
      </c>
      <c r="K93" s="37" t="s">
        <v>4638</v>
      </c>
      <c r="L93" s="5" t="str">
        <f t="shared" si="21"/>
        <v>examination</v>
      </c>
      <c r="M93" s="37" t="s">
        <v>4746</v>
      </c>
      <c r="N93" s="5" t="str">
        <f t="shared" si="22"/>
        <v>heart</v>
      </c>
      <c r="O93" s="37" t="s">
        <v>4855</v>
      </c>
      <c r="P93" s="5" t="str">
        <f t="shared" si="23"/>
        <v/>
      </c>
      <c r="Q93" s="37" t="s">
        <v>4995</v>
      </c>
      <c r="R93" s="5" t="str">
        <f t="shared" si="24"/>
        <v/>
      </c>
      <c r="S93" s="37" t="s">
        <v>5103</v>
      </c>
      <c r="T93" s="5" t="str">
        <f t="shared" si="25"/>
        <v/>
      </c>
      <c r="U93" s="37" t="s">
        <v>5202</v>
      </c>
      <c r="V93" s="5" t="str">
        <f t="shared" si="26"/>
        <v/>
      </c>
      <c r="W93" s="37" t="s">
        <v>5351</v>
      </c>
      <c r="X93" s="5" t="str">
        <f t="shared" si="27"/>
        <v/>
      </c>
      <c r="Z93" t="str">
        <f t="shared" si="36"/>
        <v>N</v>
      </c>
      <c r="AA93" t="s">
        <v>845</v>
      </c>
      <c r="AB93" t="str">
        <f t="shared" si="28"/>
        <v>Y</v>
      </c>
      <c r="AC93" t="s">
        <v>846</v>
      </c>
      <c r="AD93" t="str">
        <f t="shared" si="29"/>
        <v>N</v>
      </c>
      <c r="AE93" t="s">
        <v>847</v>
      </c>
      <c r="AF93" t="str">
        <f t="shared" si="30"/>
        <v>N</v>
      </c>
      <c r="AG93" t="s">
        <v>848</v>
      </c>
      <c r="AH93" t="str">
        <f t="shared" si="31"/>
        <v>Y</v>
      </c>
      <c r="AI93" t="s">
        <v>849</v>
      </c>
      <c r="AJ93" t="str">
        <f t="shared" si="32"/>
        <v>Y</v>
      </c>
      <c r="AK93" t="s">
        <v>850</v>
      </c>
      <c r="AL93" t="str">
        <f t="shared" si="33"/>
        <v>Y</v>
      </c>
      <c r="AM93" t="s">
        <v>851</v>
      </c>
      <c r="AN93" t="str">
        <f t="shared" si="34"/>
        <v>Y</v>
      </c>
      <c r="AO93" t="s">
        <v>852</v>
      </c>
      <c r="AP93" t="str">
        <f t="shared" si="35"/>
        <v>Y</v>
      </c>
      <c r="AQ93" t="s">
        <v>853</v>
      </c>
    </row>
    <row r="94" spans="1:43" x14ac:dyDescent="0.4">
      <c r="A94" s="7"/>
      <c r="B94" s="7"/>
      <c r="C94" s="7"/>
      <c r="D94" s="7"/>
      <c r="E94" s="7"/>
      <c r="F94" s="7"/>
      <c r="G94" s="37" t="s">
        <v>4390</v>
      </c>
      <c r="H94" s="5" t="str">
        <f t="shared" si="19"/>
        <v/>
      </c>
      <c r="I94" s="37" t="s">
        <v>4499</v>
      </c>
      <c r="J94" s="5" t="str">
        <f t="shared" si="20"/>
        <v/>
      </c>
      <c r="K94" s="37" t="s">
        <v>4639</v>
      </c>
      <c r="L94" s="5" t="str">
        <f t="shared" si="21"/>
        <v>example</v>
      </c>
      <c r="M94" s="37" t="s">
        <v>4747</v>
      </c>
      <c r="N94" s="5" t="str">
        <f t="shared" si="22"/>
        <v/>
      </c>
      <c r="O94" s="37" t="s">
        <v>4856</v>
      </c>
      <c r="P94" s="5" t="str">
        <f t="shared" si="23"/>
        <v>luck</v>
      </c>
      <c r="Q94" s="37" t="s">
        <v>4996</v>
      </c>
      <c r="R94" s="5" t="str">
        <f t="shared" si="24"/>
        <v/>
      </c>
      <c r="S94" s="37" t="s">
        <v>5104</v>
      </c>
      <c r="T94" s="5" t="str">
        <f t="shared" si="25"/>
        <v/>
      </c>
      <c r="U94" s="37" t="s">
        <v>5203</v>
      </c>
      <c r="V94" s="5" t="str">
        <f t="shared" si="26"/>
        <v/>
      </c>
      <c r="W94" s="37" t="s">
        <v>5352</v>
      </c>
      <c r="X94" s="5" t="str">
        <f t="shared" si="27"/>
        <v/>
      </c>
      <c r="Z94" t="str">
        <f t="shared" si="36"/>
        <v>N</v>
      </c>
      <c r="AA94" t="s">
        <v>854</v>
      </c>
      <c r="AB94" t="str">
        <f t="shared" si="28"/>
        <v>Y</v>
      </c>
      <c r="AC94" t="s">
        <v>855</v>
      </c>
      <c r="AD94" t="str">
        <f t="shared" si="29"/>
        <v>N</v>
      </c>
      <c r="AE94" t="s">
        <v>856</v>
      </c>
      <c r="AF94" t="str">
        <f t="shared" si="30"/>
        <v>Y</v>
      </c>
      <c r="AG94" t="s">
        <v>857</v>
      </c>
      <c r="AH94" t="str">
        <f t="shared" si="31"/>
        <v>N</v>
      </c>
      <c r="AI94" t="s">
        <v>858</v>
      </c>
      <c r="AJ94" t="str">
        <f t="shared" si="32"/>
        <v>Y</v>
      </c>
      <c r="AK94" t="s">
        <v>859</v>
      </c>
      <c r="AL94" t="str">
        <f t="shared" si="33"/>
        <v>Y</v>
      </c>
      <c r="AM94" t="s">
        <v>860</v>
      </c>
      <c r="AN94" t="str">
        <f t="shared" si="34"/>
        <v>Y</v>
      </c>
      <c r="AO94" t="s">
        <v>861</v>
      </c>
      <c r="AP94" t="str">
        <f t="shared" si="35"/>
        <v>Y</v>
      </c>
      <c r="AQ94" t="s">
        <v>862</v>
      </c>
    </row>
    <row r="95" spans="1:43" x14ac:dyDescent="0.4">
      <c r="A95" s="7"/>
      <c r="B95" s="7"/>
      <c r="C95" s="7"/>
      <c r="D95" s="7"/>
      <c r="E95" s="7"/>
      <c r="F95" s="7"/>
      <c r="G95" s="37" t="s">
        <v>4391</v>
      </c>
      <c r="H95" s="5" t="str">
        <f t="shared" si="19"/>
        <v/>
      </c>
      <c r="I95" s="37" t="s">
        <v>4500</v>
      </c>
      <c r="J95" s="5" t="str">
        <f t="shared" si="20"/>
        <v/>
      </c>
      <c r="K95" s="37" t="s">
        <v>4640</v>
      </c>
      <c r="L95" s="5" t="str">
        <f t="shared" si="21"/>
        <v>exception</v>
      </c>
      <c r="M95" s="37" t="s">
        <v>4748</v>
      </c>
      <c r="N95" s="5" t="str">
        <f t="shared" si="22"/>
        <v/>
      </c>
      <c r="O95" s="37" t="s">
        <v>4857</v>
      </c>
      <c r="P95" s="5" t="str">
        <f t="shared" si="23"/>
        <v/>
      </c>
      <c r="Q95" s="37" t="s">
        <v>4997</v>
      </c>
      <c r="R95" s="5" t="str">
        <f t="shared" si="24"/>
        <v/>
      </c>
      <c r="S95" s="37" t="s">
        <v>5105</v>
      </c>
      <c r="T95" s="5" t="str">
        <f t="shared" si="25"/>
        <v/>
      </c>
      <c r="U95" s="37" t="s">
        <v>5204</v>
      </c>
      <c r="V95" s="5" t="str">
        <f t="shared" si="26"/>
        <v/>
      </c>
      <c r="W95" s="37" t="s">
        <v>5353</v>
      </c>
      <c r="X95" s="5" t="str">
        <f t="shared" si="27"/>
        <v/>
      </c>
      <c r="Z95" t="str">
        <f t="shared" si="36"/>
        <v>N</v>
      </c>
      <c r="AA95" t="s">
        <v>863</v>
      </c>
      <c r="AB95" t="str">
        <f t="shared" si="28"/>
        <v>Y</v>
      </c>
      <c r="AC95" t="s">
        <v>864</v>
      </c>
      <c r="AD95" t="str">
        <f t="shared" si="29"/>
        <v>N</v>
      </c>
      <c r="AE95" t="s">
        <v>865</v>
      </c>
      <c r="AF95" t="str">
        <f t="shared" si="30"/>
        <v>Y</v>
      </c>
      <c r="AG95" t="s">
        <v>866</v>
      </c>
      <c r="AH95" t="str">
        <f t="shared" si="31"/>
        <v>Y</v>
      </c>
      <c r="AI95" t="s">
        <v>867</v>
      </c>
      <c r="AJ95" t="str">
        <f t="shared" si="32"/>
        <v>Y</v>
      </c>
      <c r="AK95" t="s">
        <v>868</v>
      </c>
      <c r="AL95" t="str">
        <f t="shared" si="33"/>
        <v>Y</v>
      </c>
      <c r="AM95" t="s">
        <v>869</v>
      </c>
      <c r="AN95" t="str">
        <f t="shared" si="34"/>
        <v>Y</v>
      </c>
      <c r="AO95" t="s">
        <v>870</v>
      </c>
      <c r="AP95" t="str">
        <f t="shared" si="35"/>
        <v>Y</v>
      </c>
      <c r="AQ95" t="s">
        <v>871</v>
      </c>
    </row>
    <row r="96" spans="1:43" x14ac:dyDescent="0.4">
      <c r="A96" s="7"/>
      <c r="B96" s="7"/>
      <c r="C96" s="7"/>
      <c r="D96" s="7"/>
      <c r="E96" s="7"/>
      <c r="F96" s="7"/>
      <c r="G96" s="37" t="s">
        <v>4392</v>
      </c>
      <c r="H96" s="5" t="str">
        <f t="shared" si="19"/>
        <v>block</v>
      </c>
      <c r="I96" s="37" t="s">
        <v>4501</v>
      </c>
      <c r="J96" s="5" t="str">
        <f t="shared" si="20"/>
        <v>consumption</v>
      </c>
      <c r="K96" s="37" t="s">
        <v>4641</v>
      </c>
      <c r="L96" s="5" t="str">
        <f t="shared" si="21"/>
        <v/>
      </c>
      <c r="M96" s="37" t="s">
        <v>4749</v>
      </c>
      <c r="N96" s="5" t="str">
        <f t="shared" si="22"/>
        <v/>
      </c>
      <c r="O96" s="37" t="s">
        <v>4858</v>
      </c>
      <c r="P96" s="5" t="str">
        <f t="shared" si="23"/>
        <v/>
      </c>
      <c r="Q96" s="37" t="s">
        <v>4998</v>
      </c>
      <c r="R96" s="5" t="str">
        <f t="shared" si="24"/>
        <v>plans</v>
      </c>
      <c r="S96" s="37" t="s">
        <v>5106</v>
      </c>
      <c r="T96" s="5" t="str">
        <f t="shared" si="25"/>
        <v/>
      </c>
      <c r="U96" s="37" t="s">
        <v>5205</v>
      </c>
      <c r="V96" s="5" t="str">
        <f t="shared" si="26"/>
        <v/>
      </c>
      <c r="W96" s="37" t="s">
        <v>5354</v>
      </c>
      <c r="X96" s="5" t="str">
        <f t="shared" si="27"/>
        <v/>
      </c>
      <c r="Z96" t="str">
        <f t="shared" si="36"/>
        <v>N</v>
      </c>
      <c r="AA96" t="s">
        <v>872</v>
      </c>
      <c r="AB96" t="str">
        <f t="shared" si="28"/>
        <v>N</v>
      </c>
      <c r="AC96" t="s">
        <v>873</v>
      </c>
      <c r="AD96" t="str">
        <f t="shared" si="29"/>
        <v>Y</v>
      </c>
      <c r="AE96" t="s">
        <v>874</v>
      </c>
      <c r="AF96" t="str">
        <f t="shared" si="30"/>
        <v>Y</v>
      </c>
      <c r="AG96" t="s">
        <v>875</v>
      </c>
      <c r="AH96" t="str">
        <f t="shared" si="31"/>
        <v>Y</v>
      </c>
      <c r="AI96" t="s">
        <v>876</v>
      </c>
      <c r="AJ96" t="str">
        <f t="shared" si="32"/>
        <v>N</v>
      </c>
      <c r="AK96" t="s">
        <v>877</v>
      </c>
      <c r="AL96" t="str">
        <f t="shared" si="33"/>
        <v>Y</v>
      </c>
      <c r="AM96" t="s">
        <v>878</v>
      </c>
      <c r="AN96" t="str">
        <f t="shared" si="34"/>
        <v>Y</v>
      </c>
      <c r="AO96" t="s">
        <v>879</v>
      </c>
      <c r="AP96" t="str">
        <f t="shared" si="35"/>
        <v>Y</v>
      </c>
      <c r="AQ96" t="s">
        <v>880</v>
      </c>
    </row>
    <row r="97" spans="1:43" x14ac:dyDescent="0.4">
      <c r="A97" s="7"/>
      <c r="B97" s="7"/>
      <c r="C97" s="7"/>
      <c r="D97" s="7"/>
      <c r="E97" s="7"/>
      <c r="F97" s="7"/>
      <c r="G97" s="37" t="s">
        <v>4393</v>
      </c>
      <c r="H97" s="5" t="str">
        <f t="shared" si="19"/>
        <v>blouse</v>
      </c>
      <c r="I97" s="37" t="s">
        <v>4502</v>
      </c>
      <c r="J97" s="5" t="str">
        <f t="shared" si="20"/>
        <v/>
      </c>
      <c r="K97" s="24"/>
      <c r="L97" s="5" t="str">
        <f t="shared" si="21"/>
        <v>excitement</v>
      </c>
      <c r="M97" s="37" t="s">
        <v>4750</v>
      </c>
      <c r="N97" s="5" t="str">
        <f t="shared" si="22"/>
        <v/>
      </c>
      <c r="O97" s="37" t="s">
        <v>4859</v>
      </c>
      <c r="P97" s="5" t="str">
        <f t="shared" si="23"/>
        <v/>
      </c>
      <c r="Q97" s="37" t="s">
        <v>4998</v>
      </c>
      <c r="R97" s="5" t="str">
        <f t="shared" si="24"/>
        <v/>
      </c>
      <c r="S97" s="37" t="s">
        <v>5107</v>
      </c>
      <c r="T97" s="5" t="str">
        <f t="shared" si="25"/>
        <v/>
      </c>
      <c r="U97" s="37" t="s">
        <v>5206</v>
      </c>
      <c r="V97" s="5" t="str">
        <f t="shared" si="26"/>
        <v/>
      </c>
      <c r="W97" s="37" t="s">
        <v>5355</v>
      </c>
      <c r="X97" s="5" t="str">
        <f t="shared" si="27"/>
        <v/>
      </c>
      <c r="Z97" t="str">
        <f t="shared" si="36"/>
        <v>N</v>
      </c>
      <c r="AA97" t="s">
        <v>881</v>
      </c>
      <c r="AB97" t="str">
        <f t="shared" si="28"/>
        <v>Y</v>
      </c>
      <c r="AC97" t="s">
        <v>882</v>
      </c>
      <c r="AD97" t="str">
        <f t="shared" si="29"/>
        <v>N</v>
      </c>
      <c r="AE97" t="s">
        <v>883</v>
      </c>
      <c r="AF97" t="str">
        <f t="shared" si="30"/>
        <v>Y</v>
      </c>
      <c r="AG97" t="s">
        <v>884</v>
      </c>
      <c r="AH97" t="str">
        <f t="shared" si="31"/>
        <v>Y</v>
      </c>
      <c r="AI97" t="s">
        <v>885</v>
      </c>
      <c r="AJ97" t="str">
        <f t="shared" si="32"/>
        <v>Y</v>
      </c>
      <c r="AK97" t="s">
        <v>886</v>
      </c>
      <c r="AL97" t="str">
        <f t="shared" si="33"/>
        <v>Y</v>
      </c>
      <c r="AM97" t="s">
        <v>887</v>
      </c>
      <c r="AN97" t="str">
        <f t="shared" si="34"/>
        <v>Y</v>
      </c>
      <c r="AO97" t="s">
        <v>888</v>
      </c>
      <c r="AP97" t="str">
        <f t="shared" si="35"/>
        <v>Y</v>
      </c>
      <c r="AQ97" t="s">
        <v>889</v>
      </c>
    </row>
    <row r="98" spans="1:43" x14ac:dyDescent="0.4">
      <c r="A98" s="7"/>
      <c r="B98" s="7"/>
      <c r="C98" s="7"/>
      <c r="D98" s="7"/>
      <c r="E98" s="7"/>
      <c r="F98" s="7"/>
      <c r="G98" s="37" t="s">
        <v>4394</v>
      </c>
      <c r="H98" s="5" t="str">
        <f t="shared" si="19"/>
        <v>board</v>
      </c>
      <c r="I98" s="37" t="s">
        <v>4503</v>
      </c>
      <c r="J98" s="5" t="str">
        <f t="shared" si="20"/>
        <v/>
      </c>
      <c r="K98" s="37" t="s">
        <v>4642</v>
      </c>
      <c r="L98" s="5" t="str">
        <f t="shared" si="21"/>
        <v/>
      </c>
      <c r="M98" s="37" t="s">
        <v>4751</v>
      </c>
      <c r="N98" s="5" t="str">
        <f t="shared" si="22"/>
        <v/>
      </c>
      <c r="O98" s="37" t="s">
        <v>4860</v>
      </c>
      <c r="P98" s="5" t="str">
        <f t="shared" si="23"/>
        <v/>
      </c>
      <c r="Q98" s="37" t="s">
        <v>4999</v>
      </c>
      <c r="R98" s="5" t="str">
        <f t="shared" si="24"/>
        <v/>
      </c>
      <c r="S98" s="37" t="s">
        <v>5108</v>
      </c>
      <c r="T98" s="5" t="str">
        <f t="shared" si="25"/>
        <v/>
      </c>
      <c r="U98" s="37" t="s">
        <v>5207</v>
      </c>
      <c r="V98" s="5" t="str">
        <f t="shared" si="26"/>
        <v/>
      </c>
      <c r="W98" s="37" t="s">
        <v>5356</v>
      </c>
      <c r="X98" s="5" t="str">
        <f t="shared" si="27"/>
        <v>vinegar</v>
      </c>
      <c r="Z98" t="str">
        <f t="shared" si="36"/>
        <v>N</v>
      </c>
      <c r="AA98" t="s">
        <v>890</v>
      </c>
      <c r="AB98" t="str">
        <f t="shared" si="28"/>
        <v>Y</v>
      </c>
      <c r="AC98" t="s">
        <v>891</v>
      </c>
      <c r="AD98" t="str">
        <f t="shared" si="29"/>
        <v>Y</v>
      </c>
      <c r="AE98" t="s">
        <v>892</v>
      </c>
      <c r="AF98" t="str">
        <f t="shared" si="30"/>
        <v>Y</v>
      </c>
      <c r="AG98" t="s">
        <v>893</v>
      </c>
      <c r="AH98" t="str">
        <f t="shared" si="31"/>
        <v>Y</v>
      </c>
      <c r="AI98" t="s">
        <v>894</v>
      </c>
      <c r="AJ98" t="str">
        <f t="shared" si="32"/>
        <v>Y</v>
      </c>
      <c r="AK98" t="s">
        <v>895</v>
      </c>
      <c r="AL98" t="str">
        <f t="shared" si="33"/>
        <v>Y</v>
      </c>
      <c r="AM98" t="s">
        <v>896</v>
      </c>
      <c r="AN98" t="str">
        <f t="shared" si="34"/>
        <v>Y</v>
      </c>
      <c r="AO98" t="s">
        <v>897</v>
      </c>
      <c r="AP98" t="str">
        <f t="shared" si="35"/>
        <v>N</v>
      </c>
      <c r="AQ98" t="s">
        <v>898</v>
      </c>
    </row>
    <row r="99" spans="1:43" x14ac:dyDescent="0.4">
      <c r="A99" s="7"/>
      <c r="B99" s="7"/>
      <c r="C99" s="7"/>
      <c r="D99" s="7"/>
      <c r="E99" s="7"/>
      <c r="F99" s="7"/>
      <c r="G99" s="37" t="s">
        <v>4395</v>
      </c>
      <c r="H99" s="5" t="str">
        <f t="shared" si="19"/>
        <v>boarder</v>
      </c>
      <c r="I99" s="37" t="s">
        <v>4504</v>
      </c>
      <c r="J99" s="5" t="str">
        <f t="shared" si="20"/>
        <v>contaminants</v>
      </c>
      <c r="K99" s="37" t="s">
        <v>4643</v>
      </c>
      <c r="L99" s="5" t="str">
        <f t="shared" si="21"/>
        <v/>
      </c>
      <c r="M99" s="37" t="s">
        <v>4752</v>
      </c>
      <c r="N99" s="5" t="str">
        <f t="shared" si="22"/>
        <v>heroine</v>
      </c>
      <c r="O99" s="37" t="s">
        <v>4861</v>
      </c>
      <c r="P99" s="5" t="str">
        <f t="shared" si="23"/>
        <v>maid</v>
      </c>
      <c r="Q99" s="37" t="s">
        <v>5000</v>
      </c>
      <c r="R99" s="5" t="str">
        <f t="shared" si="24"/>
        <v/>
      </c>
      <c r="S99" s="37" t="s">
        <v>5109</v>
      </c>
      <c r="T99" s="5" t="str">
        <f t="shared" si="25"/>
        <v/>
      </c>
      <c r="U99" s="37" t="s">
        <v>5208</v>
      </c>
      <c r="V99" s="5" t="str">
        <f t="shared" si="26"/>
        <v>sponsor</v>
      </c>
      <c r="W99" s="37" t="s">
        <v>5357</v>
      </c>
      <c r="X99" s="5" t="str">
        <f t="shared" si="27"/>
        <v/>
      </c>
      <c r="Z99" t="str">
        <f t="shared" si="36"/>
        <v>N</v>
      </c>
      <c r="AA99" t="s">
        <v>899</v>
      </c>
      <c r="AB99" t="str">
        <f t="shared" si="28"/>
        <v>N</v>
      </c>
      <c r="AC99" t="s">
        <v>900</v>
      </c>
      <c r="AD99" t="str">
        <f t="shared" si="29"/>
        <v>Y</v>
      </c>
      <c r="AE99" t="s">
        <v>901</v>
      </c>
      <c r="AF99" t="str">
        <f t="shared" si="30"/>
        <v>N</v>
      </c>
      <c r="AG99" t="s">
        <v>902</v>
      </c>
      <c r="AH99" t="str">
        <f t="shared" si="31"/>
        <v>N</v>
      </c>
      <c r="AI99" t="s">
        <v>903</v>
      </c>
      <c r="AJ99" t="str">
        <f t="shared" si="32"/>
        <v>Y</v>
      </c>
      <c r="AK99" t="s">
        <v>904</v>
      </c>
      <c r="AL99" t="str">
        <f t="shared" si="33"/>
        <v>Y</v>
      </c>
      <c r="AM99" t="s">
        <v>905</v>
      </c>
      <c r="AN99" t="str">
        <f t="shared" si="34"/>
        <v>N</v>
      </c>
      <c r="AO99" t="s">
        <v>906</v>
      </c>
      <c r="AP99" t="str">
        <f t="shared" si="35"/>
        <v>Y</v>
      </c>
      <c r="AQ99" t="s">
        <v>907</v>
      </c>
    </row>
    <row r="100" spans="1:43" x14ac:dyDescent="0.4">
      <c r="A100" s="7"/>
      <c r="B100" s="7"/>
      <c r="C100" s="7"/>
      <c r="D100" s="7"/>
      <c r="E100" s="7"/>
      <c r="F100" s="7"/>
      <c r="G100" s="37" t="s">
        <v>4396</v>
      </c>
      <c r="H100" s="5" t="str">
        <f t="shared" si="19"/>
        <v/>
      </c>
      <c r="I100" s="37" t="s">
        <v>4505</v>
      </c>
      <c r="J100" s="5" t="str">
        <f t="shared" si="20"/>
        <v/>
      </c>
      <c r="K100" s="37" t="s">
        <v>4644</v>
      </c>
      <c r="L100" s="5" t="str">
        <f t="shared" si="21"/>
        <v/>
      </c>
      <c r="M100" s="37" t="s">
        <v>4753</v>
      </c>
      <c r="N100" s="5" t="str">
        <f t="shared" si="22"/>
        <v/>
      </c>
      <c r="O100" s="37" t="s">
        <v>4862</v>
      </c>
      <c r="P100" s="5" t="str">
        <f t="shared" si="23"/>
        <v>mail</v>
      </c>
      <c r="Q100" s="37" t="s">
        <v>5001</v>
      </c>
      <c r="R100" s="5" t="str">
        <f t="shared" si="24"/>
        <v>plate</v>
      </c>
      <c r="S100" s="37" t="s">
        <v>5110</v>
      </c>
      <c r="T100" s="5" t="str">
        <f t="shared" si="25"/>
        <v/>
      </c>
      <c r="U100" s="37" t="s">
        <v>5209</v>
      </c>
      <c r="V100" s="5" t="str">
        <f t="shared" si="26"/>
        <v>spoons</v>
      </c>
      <c r="W100" s="37" t="s">
        <v>5358</v>
      </c>
      <c r="X100" s="5" t="str">
        <f t="shared" si="27"/>
        <v/>
      </c>
      <c r="Z100" t="str">
        <f t="shared" si="36"/>
        <v>N</v>
      </c>
      <c r="AA100" t="s">
        <v>908</v>
      </c>
      <c r="AB100" t="str">
        <f t="shared" si="28"/>
        <v>Y</v>
      </c>
      <c r="AC100" t="s">
        <v>909</v>
      </c>
      <c r="AD100" t="str">
        <f t="shared" si="29"/>
        <v>Y</v>
      </c>
      <c r="AE100" t="s">
        <v>910</v>
      </c>
      <c r="AF100" t="str">
        <f t="shared" si="30"/>
        <v>Y</v>
      </c>
      <c r="AG100" t="s">
        <v>911</v>
      </c>
      <c r="AH100" t="str">
        <f t="shared" si="31"/>
        <v>N</v>
      </c>
      <c r="AI100" t="s">
        <v>912</v>
      </c>
      <c r="AJ100" t="str">
        <f t="shared" si="32"/>
        <v>N</v>
      </c>
      <c r="AK100" t="s">
        <v>913</v>
      </c>
      <c r="AL100" t="str">
        <f t="shared" si="33"/>
        <v>Y</v>
      </c>
      <c r="AM100" t="s">
        <v>914</v>
      </c>
      <c r="AN100" t="str">
        <f t="shared" si="34"/>
        <v>N</v>
      </c>
      <c r="AO100" t="s">
        <v>915</v>
      </c>
      <c r="AP100" t="str">
        <f t="shared" si="35"/>
        <v>Y</v>
      </c>
      <c r="AQ100" t="s">
        <v>916</v>
      </c>
    </row>
    <row r="101" spans="1:43" x14ac:dyDescent="0.4">
      <c r="A101" s="7"/>
      <c r="B101" s="7"/>
      <c r="C101" s="7"/>
      <c r="D101" s="7"/>
      <c r="E101" s="7"/>
      <c r="F101" s="7"/>
      <c r="G101" s="37" t="s">
        <v>4397</v>
      </c>
      <c r="H101" s="5" t="str">
        <f t="shared" si="19"/>
        <v/>
      </c>
      <c r="I101" s="37" t="s">
        <v>4506</v>
      </c>
      <c r="J101" s="5" t="str">
        <f t="shared" si="20"/>
        <v/>
      </c>
      <c r="K101" s="37" t="s">
        <v>4645</v>
      </c>
      <c r="L101" s="5" t="str">
        <f t="shared" si="21"/>
        <v/>
      </c>
      <c r="M101" s="37" t="s">
        <v>4754</v>
      </c>
      <c r="N101" s="5" t="str">
        <f t="shared" si="22"/>
        <v/>
      </c>
      <c r="O101" s="37" t="s">
        <v>4863</v>
      </c>
      <c r="P101" s="5" t="str">
        <f t="shared" si="23"/>
        <v/>
      </c>
      <c r="Q101" s="37" t="s">
        <v>5002</v>
      </c>
      <c r="R101" s="5" t="str">
        <f t="shared" si="24"/>
        <v/>
      </c>
      <c r="S101" s="37" t="s">
        <v>5111</v>
      </c>
      <c r="T101" s="5" t="str">
        <f t="shared" si="25"/>
        <v/>
      </c>
      <c r="U101" s="37" t="s">
        <v>5210</v>
      </c>
      <c r="V101" s="5" t="str">
        <f t="shared" si="26"/>
        <v>sportsman</v>
      </c>
      <c r="W101" s="37" t="s">
        <v>5359</v>
      </c>
      <c r="X101" s="5" t="str">
        <f t="shared" si="27"/>
        <v>vitamin</v>
      </c>
      <c r="Z101" t="str">
        <f t="shared" si="36"/>
        <v>N</v>
      </c>
      <c r="AA101" t="s">
        <v>917</v>
      </c>
      <c r="AB101" t="str">
        <f t="shared" si="28"/>
        <v>Y</v>
      </c>
      <c r="AC101" t="s">
        <v>918</v>
      </c>
      <c r="AD101" t="str">
        <f t="shared" si="29"/>
        <v>Y</v>
      </c>
      <c r="AE101" t="s">
        <v>919</v>
      </c>
      <c r="AF101" t="str">
        <f t="shared" si="30"/>
        <v>Y</v>
      </c>
      <c r="AG101" t="s">
        <v>920</v>
      </c>
      <c r="AH101" t="str">
        <f t="shared" si="31"/>
        <v>Y</v>
      </c>
      <c r="AI101" t="s">
        <v>921</v>
      </c>
      <c r="AJ101" t="str">
        <f t="shared" si="32"/>
        <v>Y</v>
      </c>
      <c r="AK101" t="s">
        <v>922</v>
      </c>
      <c r="AL101" t="str">
        <f t="shared" si="33"/>
        <v>Y</v>
      </c>
      <c r="AM101" t="s">
        <v>923</v>
      </c>
      <c r="AN101" t="str">
        <f t="shared" si="34"/>
        <v>N</v>
      </c>
      <c r="AO101" t="s">
        <v>924</v>
      </c>
      <c r="AP101" t="str">
        <f t="shared" si="35"/>
        <v>N</v>
      </c>
      <c r="AQ101" t="s">
        <v>925</v>
      </c>
    </row>
    <row r="102" spans="1:43" x14ac:dyDescent="0.4">
      <c r="A102" s="7"/>
      <c r="B102" s="7"/>
      <c r="C102" s="7"/>
      <c r="D102" s="7"/>
      <c r="E102" s="7"/>
      <c r="F102" s="7"/>
      <c r="G102" s="37" t="s">
        <v>4398</v>
      </c>
      <c r="H102" s="5" t="str">
        <f t="shared" si="19"/>
        <v/>
      </c>
      <c r="I102" s="37" t="s">
        <v>4507</v>
      </c>
      <c r="J102" s="5" t="str">
        <f t="shared" si="20"/>
        <v>continent</v>
      </c>
      <c r="K102" s="37" t="s">
        <v>4646</v>
      </c>
      <c r="L102" s="5" t="str">
        <f t="shared" si="21"/>
        <v>existence</v>
      </c>
      <c r="M102" s="37" t="s">
        <v>4755</v>
      </c>
      <c r="N102" s="5" t="str">
        <f t="shared" si="22"/>
        <v/>
      </c>
      <c r="O102" s="37" t="s">
        <v>4864</v>
      </c>
      <c r="P102" s="5" t="str">
        <f t="shared" si="23"/>
        <v/>
      </c>
      <c r="Q102" s="37" t="s">
        <v>5003</v>
      </c>
      <c r="R102" s="5" t="str">
        <f t="shared" si="24"/>
        <v/>
      </c>
      <c r="S102" s="37" t="s">
        <v>5112</v>
      </c>
      <c r="T102" s="5" t="str">
        <f t="shared" si="25"/>
        <v/>
      </c>
      <c r="U102" s="37" t="s">
        <v>5211</v>
      </c>
      <c r="V102" s="5" t="str">
        <f t="shared" si="26"/>
        <v>spot</v>
      </c>
      <c r="W102" s="37" t="s">
        <v>5360</v>
      </c>
      <c r="X102" s="5" t="str">
        <f t="shared" si="27"/>
        <v/>
      </c>
      <c r="Z102" t="str">
        <f t="shared" si="36"/>
        <v>N</v>
      </c>
      <c r="AA102" t="s">
        <v>926</v>
      </c>
      <c r="AB102" t="str">
        <f t="shared" si="28"/>
        <v>N</v>
      </c>
      <c r="AC102" t="s">
        <v>927</v>
      </c>
      <c r="AD102" t="str">
        <f t="shared" si="29"/>
        <v>N</v>
      </c>
      <c r="AE102" t="s">
        <v>928</v>
      </c>
      <c r="AF102" t="str">
        <f t="shared" si="30"/>
        <v>Y</v>
      </c>
      <c r="AG102" t="s">
        <v>929</v>
      </c>
      <c r="AH102" t="str">
        <f t="shared" si="31"/>
        <v>Y</v>
      </c>
      <c r="AI102" t="s">
        <v>930</v>
      </c>
      <c r="AJ102" t="str">
        <f t="shared" si="32"/>
        <v>Y</v>
      </c>
      <c r="AK102" t="s">
        <v>931</v>
      </c>
      <c r="AL102" t="str">
        <f t="shared" si="33"/>
        <v>Y</v>
      </c>
      <c r="AM102" t="s">
        <v>932</v>
      </c>
      <c r="AN102" t="str">
        <f t="shared" si="34"/>
        <v>N</v>
      </c>
      <c r="AO102" t="s">
        <v>933</v>
      </c>
      <c r="AP102" t="str">
        <f t="shared" si="35"/>
        <v>Y</v>
      </c>
      <c r="AQ102" t="s">
        <v>934</v>
      </c>
    </row>
    <row r="103" spans="1:43" x14ac:dyDescent="0.4">
      <c r="A103" s="7"/>
      <c r="B103" s="7"/>
      <c r="C103" s="7"/>
      <c r="D103" s="7"/>
      <c r="E103" s="7"/>
      <c r="F103" s="7"/>
      <c r="G103" s="37" t="s">
        <v>4399</v>
      </c>
      <c r="H103" s="5" t="str">
        <f t="shared" si="19"/>
        <v>bowling</v>
      </c>
      <c r="I103" s="37" t="s">
        <v>4508</v>
      </c>
      <c r="J103" s="5" t="str">
        <f t="shared" si="20"/>
        <v/>
      </c>
      <c r="K103" s="37" t="s">
        <v>4647</v>
      </c>
      <c r="L103" s="5" t="str">
        <f t="shared" si="21"/>
        <v>existing</v>
      </c>
      <c r="M103" s="37" t="s">
        <v>4756</v>
      </c>
      <c r="N103" s="5" t="str">
        <f t="shared" si="22"/>
        <v/>
      </c>
      <c r="O103" s="37" t="s">
        <v>4862</v>
      </c>
      <c r="P103" s="5" t="str">
        <f t="shared" si="23"/>
        <v/>
      </c>
      <c r="Q103" s="37" t="s">
        <v>5004</v>
      </c>
      <c r="R103" s="5" t="str">
        <f t="shared" si="24"/>
        <v/>
      </c>
      <c r="S103" s="37" t="s">
        <v>5113</v>
      </c>
      <c r="T103" s="5" t="str">
        <f t="shared" si="25"/>
        <v/>
      </c>
      <c r="U103" s="37" t="s">
        <v>5212</v>
      </c>
      <c r="V103" s="5" t="str">
        <f t="shared" si="26"/>
        <v/>
      </c>
      <c r="W103" s="37" t="s">
        <v>5361</v>
      </c>
      <c r="X103" s="5" t="str">
        <f t="shared" si="27"/>
        <v/>
      </c>
      <c r="Z103" t="str">
        <f t="shared" si="36"/>
        <v>N</v>
      </c>
      <c r="AA103" t="s">
        <v>935</v>
      </c>
      <c r="AB103" t="str">
        <f t="shared" si="28"/>
        <v>Y</v>
      </c>
      <c r="AC103" t="s">
        <v>936</v>
      </c>
      <c r="AD103" t="str">
        <f t="shared" si="29"/>
        <v>N</v>
      </c>
      <c r="AE103" t="s">
        <v>937</v>
      </c>
      <c r="AF103" t="str">
        <f t="shared" si="30"/>
        <v>Y</v>
      </c>
      <c r="AG103" t="s">
        <v>938</v>
      </c>
      <c r="AH103" t="str">
        <f t="shared" si="31"/>
        <v>Y</v>
      </c>
      <c r="AI103" t="s">
        <v>939</v>
      </c>
      <c r="AJ103" t="str">
        <f t="shared" si="32"/>
        <v>Y</v>
      </c>
      <c r="AK103" t="s">
        <v>940</v>
      </c>
      <c r="AL103" t="str">
        <f t="shared" si="33"/>
        <v>Y</v>
      </c>
      <c r="AM103" t="s">
        <v>941</v>
      </c>
      <c r="AN103" t="str">
        <f t="shared" si="34"/>
        <v>Y</v>
      </c>
      <c r="AO103" t="s">
        <v>942</v>
      </c>
      <c r="AP103" t="str">
        <f t="shared" si="35"/>
        <v>Y</v>
      </c>
      <c r="AQ103" t="s">
        <v>943</v>
      </c>
    </row>
    <row r="104" spans="1:43" x14ac:dyDescent="0.4">
      <c r="A104" s="7"/>
      <c r="B104" s="7"/>
      <c r="C104" s="7"/>
      <c r="D104" s="7"/>
      <c r="E104" s="7"/>
      <c r="F104" s="7"/>
      <c r="G104" s="37" t="s">
        <v>4400</v>
      </c>
      <c r="H104" s="5" t="str">
        <f t="shared" si="19"/>
        <v/>
      </c>
      <c r="I104" s="37" t="s">
        <v>4509</v>
      </c>
      <c r="J104" s="5" t="str">
        <f t="shared" si="20"/>
        <v/>
      </c>
      <c r="K104" s="37" t="s">
        <v>4648</v>
      </c>
      <c r="L104" s="5" t="str">
        <f t="shared" si="21"/>
        <v/>
      </c>
      <c r="M104" s="37" t="s">
        <v>4757</v>
      </c>
      <c r="N104" s="5" t="str">
        <f t="shared" si="22"/>
        <v/>
      </c>
      <c r="O104" s="37" t="s">
        <v>4865</v>
      </c>
      <c r="P104" s="5" t="str">
        <f t="shared" si="23"/>
        <v/>
      </c>
      <c r="Q104" s="37" t="s">
        <v>5005</v>
      </c>
      <c r="R104" s="5" t="str">
        <f t="shared" si="24"/>
        <v/>
      </c>
      <c r="S104" s="37" t="s">
        <v>5114</v>
      </c>
      <c r="T104" s="5" t="str">
        <f t="shared" si="25"/>
        <v/>
      </c>
      <c r="U104" s="37" t="s">
        <v>5213</v>
      </c>
      <c r="V104" s="5" t="str">
        <f t="shared" si="26"/>
        <v/>
      </c>
      <c r="W104" s="37" t="s">
        <v>5362</v>
      </c>
      <c r="X104" s="5" t="str">
        <f t="shared" si="27"/>
        <v/>
      </c>
      <c r="Z104" t="str">
        <f t="shared" si="36"/>
        <v>N</v>
      </c>
      <c r="AA104" t="s">
        <v>944</v>
      </c>
      <c r="AB104" t="str">
        <f t="shared" si="28"/>
        <v>Y</v>
      </c>
      <c r="AC104" t="s">
        <v>945</v>
      </c>
      <c r="AD104" t="str">
        <f t="shared" si="29"/>
        <v>Y</v>
      </c>
      <c r="AE104" t="s">
        <v>946</v>
      </c>
      <c r="AF104" t="str">
        <f t="shared" si="30"/>
        <v>Y</v>
      </c>
      <c r="AG104" t="s">
        <v>947</v>
      </c>
      <c r="AH104" t="str">
        <f t="shared" si="31"/>
        <v>Y</v>
      </c>
      <c r="AI104" t="s">
        <v>948</v>
      </c>
      <c r="AJ104" t="str">
        <f t="shared" si="32"/>
        <v>Y</v>
      </c>
      <c r="AK104" t="s">
        <v>949</v>
      </c>
      <c r="AL104" t="str">
        <f t="shared" si="33"/>
        <v>Y</v>
      </c>
      <c r="AM104" t="s">
        <v>950</v>
      </c>
      <c r="AN104" t="str">
        <f t="shared" si="34"/>
        <v>Y</v>
      </c>
      <c r="AO104" t="s">
        <v>951</v>
      </c>
      <c r="AP104" t="str">
        <f t="shared" si="35"/>
        <v>Y</v>
      </c>
      <c r="AQ104" t="s">
        <v>952</v>
      </c>
    </row>
    <row r="105" spans="1:43" x14ac:dyDescent="0.4">
      <c r="A105" s="7"/>
      <c r="B105" s="7"/>
      <c r="C105" s="7"/>
      <c r="D105" s="7"/>
      <c r="E105" s="7"/>
      <c r="F105" s="7"/>
      <c r="G105" s="37" t="s">
        <v>4401</v>
      </c>
      <c r="H105" s="5" t="str">
        <f t="shared" si="19"/>
        <v/>
      </c>
      <c r="I105" s="37" t="s">
        <v>4510</v>
      </c>
      <c r="J105" s="5" t="str">
        <f t="shared" si="20"/>
        <v/>
      </c>
      <c r="K105" s="37" t="s">
        <v>4649</v>
      </c>
      <c r="L105" s="5" t="str">
        <f t="shared" si="21"/>
        <v/>
      </c>
      <c r="M105" s="37" t="s">
        <v>4758</v>
      </c>
      <c r="N105" s="5" t="str">
        <f t="shared" si="22"/>
        <v/>
      </c>
      <c r="O105" s="37" t="s">
        <v>4866</v>
      </c>
      <c r="P105" s="5" t="str">
        <f t="shared" si="23"/>
        <v>mane</v>
      </c>
      <c r="Q105" s="37" t="s">
        <v>5006</v>
      </c>
      <c r="R105" s="5" t="str">
        <f t="shared" si="24"/>
        <v/>
      </c>
      <c r="S105" s="37" t="s">
        <v>5115</v>
      </c>
      <c r="T105" s="5" t="str">
        <f t="shared" si="25"/>
        <v/>
      </c>
      <c r="U105" s="37" t="s">
        <v>5214</v>
      </c>
      <c r="V105" s="5" t="str">
        <f t="shared" si="26"/>
        <v/>
      </c>
      <c r="W105" s="37" t="s">
        <v>5363</v>
      </c>
      <c r="X105" s="5" t="str">
        <f t="shared" si="27"/>
        <v/>
      </c>
      <c r="Z105" t="str">
        <f t="shared" si="36"/>
        <v>N</v>
      </c>
      <c r="AA105" t="s">
        <v>953</v>
      </c>
      <c r="AB105" t="str">
        <f t="shared" si="28"/>
        <v>Y</v>
      </c>
      <c r="AC105" t="s">
        <v>954</v>
      </c>
      <c r="AD105" t="str">
        <f t="shared" si="29"/>
        <v>Y</v>
      </c>
      <c r="AE105" t="s">
        <v>955</v>
      </c>
      <c r="AF105" t="str">
        <f t="shared" si="30"/>
        <v>Y</v>
      </c>
      <c r="AG105" t="s">
        <v>956</v>
      </c>
      <c r="AH105" t="str">
        <f t="shared" si="31"/>
        <v>N</v>
      </c>
      <c r="AI105" t="s">
        <v>957</v>
      </c>
      <c r="AJ105" t="str">
        <f t="shared" si="32"/>
        <v>Y</v>
      </c>
      <c r="AK105" t="s">
        <v>958</v>
      </c>
      <c r="AL105" t="str">
        <f t="shared" si="33"/>
        <v>Y</v>
      </c>
      <c r="AM105" t="s">
        <v>959</v>
      </c>
      <c r="AN105" t="str">
        <f t="shared" si="34"/>
        <v>Y</v>
      </c>
      <c r="AO105" t="s">
        <v>960</v>
      </c>
      <c r="AP105" t="str">
        <f t="shared" si="35"/>
        <v>Y</v>
      </c>
      <c r="AQ105" t="s">
        <v>961</v>
      </c>
    </row>
    <row r="106" spans="1:43" x14ac:dyDescent="0.4">
      <c r="A106" s="7"/>
      <c r="B106" s="7"/>
      <c r="C106" s="7"/>
      <c r="D106" s="7"/>
      <c r="E106" s="7"/>
      <c r="F106" s="7"/>
      <c r="G106" s="37" t="s">
        <v>4402</v>
      </c>
      <c r="H106" s="5" t="str">
        <f t="shared" si="19"/>
        <v>brick</v>
      </c>
      <c r="I106" s="37" t="s">
        <v>4511</v>
      </c>
      <c r="J106" s="5" t="str">
        <f t="shared" si="20"/>
        <v>convenience</v>
      </c>
      <c r="K106" s="37" t="s">
        <v>4650</v>
      </c>
      <c r="L106" s="5" t="str">
        <f t="shared" si="21"/>
        <v/>
      </c>
      <c r="M106" s="37" t="s">
        <v>4759</v>
      </c>
      <c r="N106" s="5" t="str">
        <f t="shared" si="22"/>
        <v/>
      </c>
      <c r="O106" s="37" t="s">
        <v>4867</v>
      </c>
      <c r="P106" s="5" t="str">
        <f t="shared" si="23"/>
        <v/>
      </c>
      <c r="Q106" s="37" t="s">
        <v>5007</v>
      </c>
      <c r="R106" s="5" t="str">
        <f t="shared" si="24"/>
        <v>police</v>
      </c>
      <c r="S106" s="37" t="s">
        <v>5116</v>
      </c>
      <c r="T106" s="5" t="str">
        <f t="shared" si="25"/>
        <v/>
      </c>
      <c r="U106" s="37" t="s">
        <v>5215</v>
      </c>
      <c r="V106" s="5" t="str">
        <f t="shared" si="26"/>
        <v/>
      </c>
      <c r="W106" s="37" t="s">
        <v>5364</v>
      </c>
      <c r="X106" s="5" t="str">
        <f t="shared" si="27"/>
        <v/>
      </c>
      <c r="Z106" t="str">
        <f t="shared" si="36"/>
        <v>N</v>
      </c>
      <c r="AA106" t="s">
        <v>962</v>
      </c>
      <c r="AB106" t="str">
        <f t="shared" si="28"/>
        <v>N</v>
      </c>
      <c r="AC106" t="s">
        <v>963</v>
      </c>
      <c r="AD106" t="str">
        <f t="shared" si="29"/>
        <v>Y</v>
      </c>
      <c r="AE106" t="s">
        <v>964</v>
      </c>
      <c r="AF106" t="str">
        <f t="shared" si="30"/>
        <v>Y</v>
      </c>
      <c r="AG106" t="s">
        <v>965</v>
      </c>
      <c r="AH106" t="str">
        <f t="shared" si="31"/>
        <v>Y</v>
      </c>
      <c r="AI106" t="s">
        <v>966</v>
      </c>
      <c r="AJ106" t="str">
        <f t="shared" si="32"/>
        <v>N</v>
      </c>
      <c r="AK106" t="s">
        <v>967</v>
      </c>
      <c r="AL106" t="str">
        <f t="shared" si="33"/>
        <v>Y</v>
      </c>
      <c r="AM106" t="s">
        <v>968</v>
      </c>
      <c r="AN106" t="str">
        <f t="shared" si="34"/>
        <v>Y</v>
      </c>
      <c r="AO106" t="s">
        <v>969</v>
      </c>
      <c r="AP106" t="str">
        <f t="shared" si="35"/>
        <v>Y</v>
      </c>
      <c r="AQ106" t="s">
        <v>970</v>
      </c>
    </row>
    <row r="107" spans="1:43" x14ac:dyDescent="0.4">
      <c r="A107" s="7"/>
      <c r="B107" s="7"/>
      <c r="C107" s="7"/>
      <c r="D107" s="7"/>
      <c r="E107" s="7"/>
      <c r="F107" s="7"/>
      <c r="G107" s="37" t="s">
        <v>4403</v>
      </c>
      <c r="H107" s="5" t="str">
        <f t="shared" si="19"/>
        <v/>
      </c>
      <c r="I107" s="37" t="s">
        <v>4512</v>
      </c>
      <c r="J107" s="5" t="str">
        <f t="shared" si="20"/>
        <v>cooperations</v>
      </c>
      <c r="K107" s="37" t="s">
        <v>4651</v>
      </c>
      <c r="L107" s="5" t="str">
        <f t="shared" si="21"/>
        <v/>
      </c>
      <c r="M107" s="37" t="s">
        <v>4760</v>
      </c>
      <c r="N107" s="5" t="str">
        <f t="shared" si="22"/>
        <v/>
      </c>
      <c r="O107" s="37" t="s">
        <v>4868</v>
      </c>
      <c r="P107" s="5" t="str">
        <f t="shared" si="23"/>
        <v/>
      </c>
      <c r="Q107" s="37" t="s">
        <v>4953</v>
      </c>
      <c r="R107" s="5" t="str">
        <f t="shared" si="24"/>
        <v>poll</v>
      </c>
      <c r="S107" s="24"/>
      <c r="T107" s="5" t="str">
        <f t="shared" si="25"/>
        <v/>
      </c>
      <c r="U107" s="37" t="s">
        <v>5216</v>
      </c>
      <c r="V107" s="5" t="str">
        <f t="shared" si="26"/>
        <v/>
      </c>
      <c r="W107" s="37" t="s">
        <v>5365</v>
      </c>
      <c r="X107" s="5" t="str">
        <f t="shared" si="27"/>
        <v/>
      </c>
      <c r="Z107" t="str">
        <f t="shared" si="36"/>
        <v>N</v>
      </c>
      <c r="AA107" t="s">
        <v>971</v>
      </c>
      <c r="AB107" t="str">
        <f t="shared" si="28"/>
        <v>N</v>
      </c>
      <c r="AC107" t="s">
        <v>972</v>
      </c>
      <c r="AD107" t="str">
        <f t="shared" si="29"/>
        <v>Y</v>
      </c>
      <c r="AE107" t="s">
        <v>973</v>
      </c>
      <c r="AF107" t="str">
        <f t="shared" si="30"/>
        <v>Y</v>
      </c>
      <c r="AG107" t="s">
        <v>974</v>
      </c>
      <c r="AH107" t="str">
        <f t="shared" si="31"/>
        <v>Y</v>
      </c>
      <c r="AI107" t="s">
        <v>975</v>
      </c>
      <c r="AJ107" t="str">
        <f t="shared" si="32"/>
        <v>N</v>
      </c>
      <c r="AK107" t="s">
        <v>976</v>
      </c>
      <c r="AN107" t="str">
        <f t="shared" si="34"/>
        <v>Y</v>
      </c>
      <c r="AO107" t="s">
        <v>977</v>
      </c>
      <c r="AP107" t="str">
        <f t="shared" si="35"/>
        <v>Y</v>
      </c>
      <c r="AQ107" t="s">
        <v>978</v>
      </c>
    </row>
    <row r="108" spans="1:43" x14ac:dyDescent="0.4">
      <c r="A108" s="7"/>
      <c r="B108" s="7"/>
      <c r="C108" s="7"/>
      <c r="D108" s="7"/>
      <c r="E108" s="7"/>
      <c r="F108" s="7"/>
      <c r="G108" s="37" t="s">
        <v>4404</v>
      </c>
      <c r="H108" s="5" t="str">
        <f t="shared" si="19"/>
        <v>brochures</v>
      </c>
      <c r="I108" s="37" t="s">
        <v>4513</v>
      </c>
      <c r="J108" s="5" t="str">
        <f t="shared" si="20"/>
        <v/>
      </c>
      <c r="K108" s="37" t="s">
        <v>4652</v>
      </c>
      <c r="L108" s="5" t="str">
        <f t="shared" si="21"/>
        <v>explanation</v>
      </c>
      <c r="M108" s="37" t="s">
        <v>4761</v>
      </c>
      <c r="N108" s="5" t="str">
        <f t="shared" si="22"/>
        <v/>
      </c>
      <c r="O108" s="37" t="s">
        <v>4869</v>
      </c>
      <c r="P108" s="5" t="str">
        <f t="shared" si="23"/>
        <v>margi</v>
      </c>
      <c r="Q108" s="37" t="s">
        <v>5008</v>
      </c>
      <c r="R108" s="5" t="str">
        <f t="shared" si="24"/>
        <v/>
      </c>
      <c r="S108" s="24"/>
      <c r="T108" s="5" t="str">
        <f t="shared" si="25"/>
        <v/>
      </c>
      <c r="U108" s="37" t="s">
        <v>5217</v>
      </c>
      <c r="V108" s="5" t="str">
        <f t="shared" si="26"/>
        <v/>
      </c>
      <c r="W108" s="37" t="s">
        <v>5366</v>
      </c>
      <c r="X108" s="5" t="str">
        <f t="shared" si="27"/>
        <v/>
      </c>
      <c r="Z108" t="str">
        <f t="shared" si="36"/>
        <v>N</v>
      </c>
      <c r="AA108" t="s">
        <v>979</v>
      </c>
      <c r="AB108" t="str">
        <f t="shared" si="28"/>
        <v>Y</v>
      </c>
      <c r="AC108" t="s">
        <v>980</v>
      </c>
      <c r="AD108" t="str">
        <f t="shared" si="29"/>
        <v>N</v>
      </c>
      <c r="AE108" t="s">
        <v>981</v>
      </c>
      <c r="AF108" t="str">
        <f t="shared" si="30"/>
        <v>Y</v>
      </c>
      <c r="AG108" t="s">
        <v>982</v>
      </c>
      <c r="AH108" t="str">
        <f t="shared" si="31"/>
        <v>N</v>
      </c>
      <c r="AI108" t="s">
        <v>983</v>
      </c>
      <c r="AJ108" t="str">
        <f t="shared" si="32"/>
        <v>Y</v>
      </c>
      <c r="AK108" t="s">
        <v>984</v>
      </c>
      <c r="AN108" t="str">
        <f t="shared" si="34"/>
        <v>Y</v>
      </c>
      <c r="AO108" t="s">
        <v>985</v>
      </c>
      <c r="AP108" t="str">
        <f t="shared" si="35"/>
        <v>Y</v>
      </c>
      <c r="AQ108" t="s">
        <v>986</v>
      </c>
    </row>
    <row r="109" spans="1:43" x14ac:dyDescent="0.4">
      <c r="A109" s="7"/>
      <c r="B109" s="7"/>
      <c r="C109" s="7"/>
      <c r="D109" s="7"/>
      <c r="E109" s="7"/>
      <c r="F109" s="7"/>
      <c r="G109" s="37" t="s">
        <v>4405</v>
      </c>
      <c r="H109" s="5" t="str">
        <f t="shared" si="19"/>
        <v/>
      </c>
      <c r="I109" s="37" t="s">
        <v>4514</v>
      </c>
      <c r="J109" s="5" t="str">
        <f t="shared" si="20"/>
        <v/>
      </c>
      <c r="K109" s="37" t="s">
        <v>4653</v>
      </c>
      <c r="L109" s="5" t="str">
        <f t="shared" si="21"/>
        <v>explosion</v>
      </c>
      <c r="M109" s="37" t="s">
        <v>4762</v>
      </c>
      <c r="N109" s="5" t="str">
        <f t="shared" si="22"/>
        <v/>
      </c>
      <c r="O109" s="37" t="s">
        <v>4870</v>
      </c>
      <c r="P109" s="5" t="str">
        <f t="shared" si="23"/>
        <v/>
      </c>
      <c r="Q109" s="37" t="s">
        <v>5009</v>
      </c>
      <c r="R109" s="5" t="str">
        <f t="shared" si="24"/>
        <v/>
      </c>
      <c r="S109" s="24"/>
      <c r="T109" s="5" t="str">
        <f t="shared" si="25"/>
        <v/>
      </c>
      <c r="U109" s="37" t="s">
        <v>5218</v>
      </c>
      <c r="V109" s="5" t="str">
        <f t="shared" si="26"/>
        <v/>
      </c>
      <c r="W109" s="37" t="s">
        <v>5367</v>
      </c>
      <c r="X109" s="5" t="str">
        <f t="shared" si="27"/>
        <v/>
      </c>
      <c r="Z109" t="str">
        <f t="shared" si="36"/>
        <v>N</v>
      </c>
      <c r="AA109" t="s">
        <v>987</v>
      </c>
      <c r="AB109" t="str">
        <f t="shared" si="28"/>
        <v>Y</v>
      </c>
      <c r="AC109" t="s">
        <v>988</v>
      </c>
      <c r="AD109" t="str">
        <f t="shared" si="29"/>
        <v>N</v>
      </c>
      <c r="AE109" t="s">
        <v>989</v>
      </c>
      <c r="AF109" t="str">
        <f t="shared" si="30"/>
        <v>Y</v>
      </c>
      <c r="AG109" t="s">
        <v>990</v>
      </c>
      <c r="AH109" t="str">
        <f t="shared" si="31"/>
        <v>Y</v>
      </c>
      <c r="AI109" t="s">
        <v>991</v>
      </c>
      <c r="AJ109" t="str">
        <f t="shared" si="32"/>
        <v>Y</v>
      </c>
      <c r="AK109" t="s">
        <v>992</v>
      </c>
      <c r="AN109" t="str">
        <f t="shared" si="34"/>
        <v>Y</v>
      </c>
      <c r="AO109" t="s">
        <v>993</v>
      </c>
      <c r="AP109" t="str">
        <f t="shared" si="35"/>
        <v>Y</v>
      </c>
      <c r="AQ109" t="s">
        <v>994</v>
      </c>
    </row>
    <row r="110" spans="1:43" x14ac:dyDescent="0.4">
      <c r="A110" s="7"/>
      <c r="B110" s="7"/>
      <c r="C110" s="7"/>
      <c r="D110" s="7"/>
      <c r="E110" s="7"/>
      <c r="F110" s="7"/>
      <c r="G110" s="37" t="s">
        <v>4406</v>
      </c>
      <c r="H110" s="5" t="str">
        <f t="shared" si="19"/>
        <v>bungalow</v>
      </c>
      <c r="I110" s="37" t="s">
        <v>4512</v>
      </c>
      <c r="J110" s="5" t="str">
        <f t="shared" si="20"/>
        <v>coporation</v>
      </c>
      <c r="K110" s="37" t="s">
        <v>4654</v>
      </c>
      <c r="L110" s="5" t="str">
        <f t="shared" si="21"/>
        <v/>
      </c>
      <c r="M110" s="37" t="s">
        <v>4763</v>
      </c>
      <c r="N110" s="5" t="str">
        <f t="shared" si="22"/>
        <v/>
      </c>
      <c r="O110" s="37" t="s">
        <v>4871</v>
      </c>
      <c r="P110" s="5" t="str">
        <f t="shared" si="23"/>
        <v/>
      </c>
      <c r="Q110" s="37" t="s">
        <v>5010</v>
      </c>
      <c r="R110" s="5" t="str">
        <f t="shared" si="24"/>
        <v/>
      </c>
      <c r="S110" s="24"/>
      <c r="T110" s="5" t="str">
        <f t="shared" si="25"/>
        <v/>
      </c>
      <c r="U110" s="37" t="s">
        <v>5219</v>
      </c>
      <c r="V110" s="5" t="str">
        <f t="shared" si="26"/>
        <v/>
      </c>
      <c r="W110" s="37" t="s">
        <v>5368</v>
      </c>
      <c r="X110" s="5" t="str">
        <f t="shared" si="27"/>
        <v/>
      </c>
      <c r="Z110" t="str">
        <f t="shared" si="36"/>
        <v>N</v>
      </c>
      <c r="AA110" t="s">
        <v>995</v>
      </c>
      <c r="AB110" t="str">
        <f t="shared" si="28"/>
        <v>N</v>
      </c>
      <c r="AC110" t="s">
        <v>996</v>
      </c>
      <c r="AD110" t="str">
        <f t="shared" si="29"/>
        <v>Y</v>
      </c>
      <c r="AE110" t="s">
        <v>997</v>
      </c>
      <c r="AF110" t="str">
        <f t="shared" si="30"/>
        <v>Y</v>
      </c>
      <c r="AG110" t="s">
        <v>998</v>
      </c>
      <c r="AH110" t="str">
        <f t="shared" si="31"/>
        <v>Y</v>
      </c>
      <c r="AI110" t="s">
        <v>999</v>
      </c>
      <c r="AJ110" t="str">
        <f t="shared" si="32"/>
        <v>Y</v>
      </c>
      <c r="AK110" t="s">
        <v>1000</v>
      </c>
      <c r="AN110" t="str">
        <f t="shared" si="34"/>
        <v>Y</v>
      </c>
      <c r="AO110" t="s">
        <v>1001</v>
      </c>
      <c r="AP110" t="str">
        <f t="shared" si="35"/>
        <v>Y</v>
      </c>
      <c r="AQ110" t="s">
        <v>1002</v>
      </c>
    </row>
    <row r="111" spans="1:43" x14ac:dyDescent="0.4">
      <c r="A111" s="7"/>
      <c r="B111" s="7"/>
      <c r="C111" s="7"/>
      <c r="D111" s="7"/>
      <c r="E111" s="7"/>
      <c r="F111" s="7"/>
      <c r="G111" s="37" t="s">
        <v>4407</v>
      </c>
      <c r="H111" s="5" t="str">
        <f t="shared" si="19"/>
        <v/>
      </c>
      <c r="I111" s="37" t="s">
        <v>4515</v>
      </c>
      <c r="J111" s="5" t="str">
        <f t="shared" si="20"/>
        <v>corpse</v>
      </c>
      <c r="K111" s="37" t="s">
        <v>4655</v>
      </c>
      <c r="L111" s="5" t="str">
        <f t="shared" si="21"/>
        <v>exposure</v>
      </c>
      <c r="M111" s="37" t="s">
        <v>4764</v>
      </c>
      <c r="N111" s="5" t="str">
        <f t="shared" si="22"/>
        <v/>
      </c>
      <c r="O111" s="37" t="s">
        <v>4872</v>
      </c>
      <c r="P111" s="5" t="str">
        <f t="shared" si="23"/>
        <v/>
      </c>
      <c r="Q111" s="37" t="s">
        <v>5011</v>
      </c>
      <c r="R111" s="5" t="str">
        <f t="shared" si="24"/>
        <v>port</v>
      </c>
      <c r="S111" s="24"/>
      <c r="T111" s="5" t="str">
        <f t="shared" si="25"/>
        <v/>
      </c>
      <c r="U111" s="37" t="s">
        <v>5220</v>
      </c>
      <c r="V111" s="5" t="str">
        <f t="shared" si="26"/>
        <v/>
      </c>
      <c r="W111" s="37" t="s">
        <v>5369</v>
      </c>
      <c r="X111" s="5" t="str">
        <f t="shared" si="27"/>
        <v/>
      </c>
      <c r="Z111" t="str">
        <f t="shared" si="36"/>
        <v>N</v>
      </c>
      <c r="AA111" t="s">
        <v>1003</v>
      </c>
      <c r="AB111" t="str">
        <f t="shared" si="28"/>
        <v>N</v>
      </c>
      <c r="AC111" t="s">
        <v>1004</v>
      </c>
      <c r="AD111" t="str">
        <f t="shared" si="29"/>
        <v>N</v>
      </c>
      <c r="AE111" t="s">
        <v>1005</v>
      </c>
      <c r="AF111" t="str">
        <f t="shared" si="30"/>
        <v>Y</v>
      </c>
      <c r="AG111" t="s">
        <v>1006</v>
      </c>
      <c r="AH111" t="str">
        <f t="shared" si="31"/>
        <v>Y</v>
      </c>
      <c r="AI111" t="s">
        <v>1007</v>
      </c>
      <c r="AJ111" t="str">
        <f t="shared" si="32"/>
        <v>N</v>
      </c>
      <c r="AK111" t="s">
        <v>1008</v>
      </c>
      <c r="AN111" t="str">
        <f t="shared" si="34"/>
        <v>Y</v>
      </c>
      <c r="AO111" t="s">
        <v>1009</v>
      </c>
      <c r="AP111" t="str">
        <f t="shared" si="35"/>
        <v>Y</v>
      </c>
      <c r="AQ111" t="s">
        <v>1010</v>
      </c>
    </row>
    <row r="112" spans="1:43" x14ac:dyDescent="0.4">
      <c r="A112" s="7"/>
      <c r="B112" s="7"/>
      <c r="C112" s="7"/>
      <c r="D112" s="7"/>
      <c r="E112" s="7"/>
      <c r="F112" s="7"/>
      <c r="G112" s="37" t="s">
        <v>4408</v>
      </c>
      <c r="H112" s="5" t="str">
        <f t="shared" si="19"/>
        <v>burglar</v>
      </c>
      <c r="I112" s="37" t="s">
        <v>4516</v>
      </c>
      <c r="J112" s="5" t="str">
        <f t="shared" si="20"/>
        <v>correspondence</v>
      </c>
      <c r="K112" s="37" t="s">
        <v>4656</v>
      </c>
      <c r="L112" s="5" t="str">
        <f t="shared" si="21"/>
        <v>extension</v>
      </c>
      <c r="M112" s="37" t="s">
        <v>4765</v>
      </c>
      <c r="N112" s="5" t="str">
        <f t="shared" si="22"/>
        <v/>
      </c>
      <c r="O112" s="37" t="s">
        <v>4873</v>
      </c>
      <c r="P112" s="5" t="str">
        <f t="shared" si="23"/>
        <v>marsh</v>
      </c>
      <c r="Q112" s="37" t="s">
        <v>5012</v>
      </c>
      <c r="R112" s="5" t="str">
        <f t="shared" si="24"/>
        <v/>
      </c>
      <c r="S112" s="24"/>
      <c r="T112" s="5" t="str">
        <f t="shared" si="25"/>
        <v/>
      </c>
      <c r="U112" s="37" t="s">
        <v>5221</v>
      </c>
      <c r="V112" s="5" t="str">
        <f t="shared" si="26"/>
        <v/>
      </c>
      <c r="W112" s="37" t="s">
        <v>5370</v>
      </c>
      <c r="X112" s="5" t="str">
        <f t="shared" si="27"/>
        <v/>
      </c>
      <c r="Z112" t="str">
        <f t="shared" si="36"/>
        <v>N</v>
      </c>
      <c r="AA112" t="s">
        <v>1011</v>
      </c>
      <c r="AB112" t="str">
        <f t="shared" si="28"/>
        <v>N</v>
      </c>
      <c r="AC112" t="s">
        <v>1012</v>
      </c>
      <c r="AD112" t="str">
        <f t="shared" si="29"/>
        <v>N</v>
      </c>
      <c r="AE112" t="s">
        <v>1013</v>
      </c>
      <c r="AF112" t="str">
        <f t="shared" si="30"/>
        <v>Y</v>
      </c>
      <c r="AG112" t="s">
        <v>1014</v>
      </c>
      <c r="AH112" t="str">
        <f t="shared" si="31"/>
        <v>N</v>
      </c>
      <c r="AI112" t="s">
        <v>1015</v>
      </c>
      <c r="AJ112" t="str">
        <f t="shared" si="32"/>
        <v>Y</v>
      </c>
      <c r="AK112" t="s">
        <v>1016</v>
      </c>
      <c r="AN112" t="str">
        <f t="shared" si="34"/>
        <v>Y</v>
      </c>
      <c r="AO112" t="s">
        <v>1017</v>
      </c>
      <c r="AP112" t="str">
        <f t="shared" si="35"/>
        <v>Y</v>
      </c>
      <c r="AQ112" t="s">
        <v>1018</v>
      </c>
    </row>
    <row r="113" spans="1:43" x14ac:dyDescent="0.4">
      <c r="A113" s="7"/>
      <c r="B113" s="7"/>
      <c r="C113" s="7"/>
      <c r="D113" s="7"/>
      <c r="E113" s="7"/>
      <c r="F113" s="7"/>
      <c r="G113" s="37" t="s">
        <v>4409</v>
      </c>
      <c r="H113" s="5" t="str">
        <f t="shared" si="19"/>
        <v/>
      </c>
      <c r="I113" s="37" t="s">
        <v>4517</v>
      </c>
      <c r="J113" s="5" t="str">
        <f t="shared" si="20"/>
        <v/>
      </c>
      <c r="K113" s="37" t="s">
        <v>4657</v>
      </c>
      <c r="L113" s="5" t="str">
        <f t="shared" si="21"/>
        <v/>
      </c>
      <c r="M113" s="37" t="s">
        <v>4766</v>
      </c>
      <c r="N113" s="5" t="str">
        <f t="shared" si="22"/>
        <v>households</v>
      </c>
      <c r="O113" s="37" t="s">
        <v>4874</v>
      </c>
      <c r="P113" s="5" t="str">
        <f t="shared" si="23"/>
        <v/>
      </c>
      <c r="Q113" s="37" t="s">
        <v>5013</v>
      </c>
      <c r="R113" s="5" t="str">
        <f t="shared" si="24"/>
        <v/>
      </c>
      <c r="S113" s="24"/>
      <c r="T113" s="5" t="str">
        <f t="shared" si="25"/>
        <v/>
      </c>
      <c r="U113" s="37" t="s">
        <v>5222</v>
      </c>
      <c r="V113" s="5" t="str">
        <f t="shared" si="26"/>
        <v/>
      </c>
      <c r="W113" s="37" t="s">
        <v>5371</v>
      </c>
      <c r="X113" s="5" t="str">
        <f t="shared" si="27"/>
        <v/>
      </c>
      <c r="Z113" t="str">
        <f t="shared" si="36"/>
        <v>N</v>
      </c>
      <c r="AA113" t="s">
        <v>1019</v>
      </c>
      <c r="AB113" t="str">
        <f t="shared" si="28"/>
        <v>Y</v>
      </c>
      <c r="AC113" t="s">
        <v>1020</v>
      </c>
      <c r="AD113" t="str">
        <f t="shared" si="29"/>
        <v>Y</v>
      </c>
      <c r="AE113" s="36" t="s">
        <v>5405</v>
      </c>
      <c r="AF113" t="str">
        <f t="shared" si="30"/>
        <v>N</v>
      </c>
      <c r="AG113" t="s">
        <v>1021</v>
      </c>
      <c r="AH113" t="str">
        <f t="shared" si="31"/>
        <v>Y</v>
      </c>
      <c r="AI113" t="s">
        <v>1022</v>
      </c>
      <c r="AJ113" t="str">
        <f t="shared" si="32"/>
        <v>Y</v>
      </c>
      <c r="AK113" t="s">
        <v>1023</v>
      </c>
      <c r="AN113" t="str">
        <f t="shared" si="34"/>
        <v>Y</v>
      </c>
      <c r="AO113" t="s">
        <v>1024</v>
      </c>
      <c r="AP113" t="str">
        <f t="shared" si="35"/>
        <v>Y</v>
      </c>
      <c r="AQ113" t="s">
        <v>1025</v>
      </c>
    </row>
    <row r="114" spans="1:43" x14ac:dyDescent="0.4">
      <c r="A114" s="7"/>
      <c r="B114" s="7"/>
      <c r="C114" s="7"/>
      <c r="D114" s="7"/>
      <c r="E114" s="7"/>
      <c r="F114" s="7"/>
      <c r="G114" s="37" t="s">
        <v>4410</v>
      </c>
      <c r="H114" s="5" t="str">
        <f t="shared" si="19"/>
        <v/>
      </c>
      <c r="I114" s="37" t="s">
        <v>4518</v>
      </c>
      <c r="J114" s="5" t="str">
        <f t="shared" si="20"/>
        <v/>
      </c>
      <c r="K114" s="37" t="s">
        <v>4658</v>
      </c>
      <c r="L114" s="5" t="str">
        <f t="shared" si="21"/>
        <v/>
      </c>
      <c r="M114" s="37" t="s">
        <v>4767</v>
      </c>
      <c r="N114" s="5" t="str">
        <f t="shared" si="22"/>
        <v/>
      </c>
      <c r="O114" s="37" t="s">
        <v>4868</v>
      </c>
      <c r="P114" s="5" t="str">
        <f t="shared" si="23"/>
        <v>mat</v>
      </c>
      <c r="Q114" s="37" t="s">
        <v>5014</v>
      </c>
      <c r="R114" s="5" t="str">
        <f t="shared" si="24"/>
        <v/>
      </c>
      <c r="S114" s="24"/>
      <c r="T114" s="5" t="str">
        <f t="shared" si="25"/>
        <v/>
      </c>
      <c r="U114" s="37" t="s">
        <v>5223</v>
      </c>
      <c r="V114" s="5" t="str">
        <f t="shared" si="26"/>
        <v/>
      </c>
      <c r="W114" s="37" t="s">
        <v>5372</v>
      </c>
      <c r="X114" s="5" t="str">
        <f t="shared" si="27"/>
        <v/>
      </c>
      <c r="Z114" t="str">
        <f t="shared" si="36"/>
        <v>N</v>
      </c>
      <c r="AA114" t="s">
        <v>1026</v>
      </c>
      <c r="AB114" t="str">
        <f t="shared" si="28"/>
        <v>Y</v>
      </c>
      <c r="AC114" t="s">
        <v>1027</v>
      </c>
      <c r="AD114" t="str">
        <f t="shared" si="29"/>
        <v>Y</v>
      </c>
      <c r="AE114" t="s">
        <v>1028</v>
      </c>
      <c r="AF114" t="str">
        <f t="shared" si="30"/>
        <v>Y</v>
      </c>
      <c r="AG114" t="s">
        <v>1029</v>
      </c>
      <c r="AH114" t="str">
        <f t="shared" si="31"/>
        <v>N</v>
      </c>
      <c r="AI114" t="s">
        <v>1030</v>
      </c>
      <c r="AJ114" t="str">
        <f t="shared" si="32"/>
        <v>Y</v>
      </c>
      <c r="AK114" t="s">
        <v>1031</v>
      </c>
      <c r="AN114" t="str">
        <f t="shared" si="34"/>
        <v>Y</v>
      </c>
      <c r="AO114" t="s">
        <v>1032</v>
      </c>
      <c r="AP114" t="str">
        <f t="shared" si="35"/>
        <v>Y</v>
      </c>
      <c r="AQ114" t="s">
        <v>1033</v>
      </c>
    </row>
    <row r="115" spans="1:43" x14ac:dyDescent="0.4">
      <c r="A115" s="7"/>
      <c r="B115" s="7"/>
      <c r="C115" s="7"/>
      <c r="D115" s="7"/>
      <c r="E115" s="7"/>
      <c r="F115" s="7"/>
      <c r="G115" s="24"/>
      <c r="H115" s="30"/>
      <c r="I115" s="37" t="s">
        <v>4519</v>
      </c>
      <c r="J115" s="5" t="str">
        <f t="shared" si="20"/>
        <v/>
      </c>
      <c r="K115" s="37" t="s">
        <v>4659</v>
      </c>
      <c r="L115" s="5" t="str">
        <f t="shared" si="21"/>
        <v/>
      </c>
      <c r="M115" s="24"/>
      <c r="N115" s="5" t="str">
        <f t="shared" si="22"/>
        <v/>
      </c>
      <c r="O115" s="37" t="s">
        <v>4875</v>
      </c>
      <c r="P115" s="5" t="str">
        <f t="shared" si="23"/>
        <v>matching</v>
      </c>
      <c r="Q115" s="37" t="s">
        <v>5015</v>
      </c>
      <c r="R115" s="5" t="str">
        <f t="shared" si="24"/>
        <v/>
      </c>
      <c r="S115" s="24"/>
      <c r="T115" s="5" t="str">
        <f t="shared" si="25"/>
        <v/>
      </c>
      <c r="U115" s="37" t="s">
        <v>5224</v>
      </c>
      <c r="V115" s="5" t="str">
        <f t="shared" si="26"/>
        <v>steak</v>
      </c>
      <c r="W115" s="37" t="s">
        <v>5373</v>
      </c>
      <c r="X115" s="5" t="str">
        <f t="shared" si="27"/>
        <v/>
      </c>
      <c r="Z115" t="str">
        <f>IF(EXACT(AA116,AG115)=TRUE,"Y","N")</f>
        <v>Y</v>
      </c>
      <c r="AB115" t="str">
        <f t="shared" si="28"/>
        <v>Y</v>
      </c>
      <c r="AC115" t="s">
        <v>1034</v>
      </c>
      <c r="AD115" t="str">
        <f t="shared" si="29"/>
        <v>Y</v>
      </c>
      <c r="AE115" t="s">
        <v>1035</v>
      </c>
      <c r="AH115" t="str">
        <f t="shared" si="31"/>
        <v>N</v>
      </c>
      <c r="AI115" t="s">
        <v>1036</v>
      </c>
      <c r="AJ115" t="str">
        <f t="shared" si="32"/>
        <v>Y</v>
      </c>
      <c r="AK115" t="s">
        <v>826</v>
      </c>
      <c r="AN115" t="str">
        <f t="shared" si="34"/>
        <v>N</v>
      </c>
      <c r="AO115" t="s">
        <v>1037</v>
      </c>
      <c r="AP115" t="str">
        <f t="shared" si="35"/>
        <v>Y</v>
      </c>
      <c r="AQ115" t="s">
        <v>1038</v>
      </c>
    </row>
    <row r="116" spans="1:43" x14ac:dyDescent="0.4">
      <c r="A116" s="7"/>
      <c r="B116" s="7"/>
      <c r="C116" s="7"/>
      <c r="D116" s="7"/>
      <c r="E116" s="7"/>
      <c r="F116" s="7"/>
      <c r="G116" s="24"/>
      <c r="H116" s="30"/>
      <c r="I116" s="37" t="s">
        <v>4520</v>
      </c>
      <c r="J116" s="5" t="str">
        <f t="shared" si="20"/>
        <v/>
      </c>
      <c r="K116" s="24"/>
      <c r="L116" s="5" t="str">
        <f t="shared" si="21"/>
        <v/>
      </c>
      <c r="M116" s="24"/>
      <c r="N116" s="5" t="str">
        <f t="shared" si="22"/>
        <v/>
      </c>
      <c r="O116" s="37" t="s">
        <v>4876</v>
      </c>
      <c r="P116" s="5" t="str">
        <f t="shared" si="23"/>
        <v/>
      </c>
      <c r="Q116" s="24"/>
      <c r="R116" s="5" t="str">
        <f t="shared" si="24"/>
        <v/>
      </c>
      <c r="S116" s="24"/>
      <c r="T116" s="5" t="str">
        <f t="shared" si="25"/>
        <v/>
      </c>
      <c r="U116" s="37" t="s">
        <v>5225</v>
      </c>
      <c r="V116" s="5" t="str">
        <f t="shared" si="26"/>
        <v>steam</v>
      </c>
      <c r="W116" s="37" t="s">
        <v>5374</v>
      </c>
      <c r="X116" s="5" t="str">
        <f t="shared" si="27"/>
        <v/>
      </c>
      <c r="AB116" t="str">
        <f t="shared" si="28"/>
        <v>Y</v>
      </c>
      <c r="AC116" t="s">
        <v>1039</v>
      </c>
      <c r="AH116" t="str">
        <f t="shared" si="31"/>
        <v>Y</v>
      </c>
      <c r="AI116" t="s">
        <v>1040</v>
      </c>
      <c r="AN116" t="str">
        <f t="shared" si="34"/>
        <v>N</v>
      </c>
      <c r="AO116" t="s">
        <v>1041</v>
      </c>
      <c r="AP116" t="str">
        <f t="shared" si="35"/>
        <v>Y</v>
      </c>
      <c r="AQ116" t="s">
        <v>1042</v>
      </c>
    </row>
    <row r="117" spans="1:43" x14ac:dyDescent="0.4">
      <c r="A117" s="7"/>
      <c r="B117" s="7"/>
      <c r="C117" s="7"/>
      <c r="D117" s="7"/>
      <c r="E117" s="7"/>
      <c r="F117" s="7"/>
      <c r="G117" s="24"/>
      <c r="H117" s="30"/>
      <c r="I117" s="37" t="s">
        <v>4521</v>
      </c>
      <c r="J117" s="5" t="str">
        <f t="shared" si="20"/>
        <v>cough</v>
      </c>
      <c r="K117" s="24"/>
      <c r="L117" s="30"/>
      <c r="M117" s="24"/>
      <c r="N117" s="5" t="str">
        <f t="shared" si="22"/>
        <v/>
      </c>
      <c r="O117" s="37" t="s">
        <v>4877</v>
      </c>
      <c r="P117" s="5" t="str">
        <f t="shared" si="23"/>
        <v>maturity</v>
      </c>
      <c r="Q117" s="24"/>
      <c r="R117" s="5" t="str">
        <f t="shared" si="24"/>
        <v/>
      </c>
      <c r="S117" s="24"/>
      <c r="T117" s="5" t="str">
        <f t="shared" si="25"/>
        <v/>
      </c>
      <c r="U117" s="37" t="s">
        <v>5226</v>
      </c>
      <c r="V117" s="5" t="str">
        <f t="shared" si="26"/>
        <v/>
      </c>
      <c r="W117" s="37" t="s">
        <v>5375</v>
      </c>
      <c r="X117" s="5" t="str">
        <f t="shared" si="27"/>
        <v/>
      </c>
      <c r="AB117" t="str">
        <f t="shared" si="28"/>
        <v>N</v>
      </c>
      <c r="AC117" t="s">
        <v>1043</v>
      </c>
      <c r="AH117" t="str">
        <f t="shared" si="31"/>
        <v>N</v>
      </c>
      <c r="AI117" t="s">
        <v>1044</v>
      </c>
      <c r="AN117" t="str">
        <f t="shared" si="34"/>
        <v>Y</v>
      </c>
      <c r="AO117" t="s">
        <v>1045</v>
      </c>
      <c r="AP117" t="str">
        <f t="shared" si="35"/>
        <v>Y</v>
      </c>
      <c r="AQ117" t="s">
        <v>1046</v>
      </c>
    </row>
    <row r="118" spans="1:43" x14ac:dyDescent="0.4">
      <c r="A118" s="7"/>
      <c r="B118" s="7"/>
      <c r="C118" s="7"/>
      <c r="D118" s="7"/>
      <c r="E118" s="7"/>
      <c r="F118" s="7"/>
      <c r="G118" s="24"/>
      <c r="H118" s="30"/>
      <c r="I118" s="37" t="s">
        <v>4522</v>
      </c>
      <c r="J118" s="5" t="str">
        <f t="shared" si="20"/>
        <v/>
      </c>
      <c r="K118" s="24"/>
      <c r="L118" s="30"/>
      <c r="M118" s="24"/>
      <c r="N118" s="5" t="str">
        <f t="shared" si="22"/>
        <v/>
      </c>
      <c r="O118" s="37" t="s">
        <v>4878</v>
      </c>
      <c r="P118" s="5" t="str">
        <f t="shared" si="23"/>
        <v/>
      </c>
      <c r="Q118" s="24"/>
      <c r="R118" s="5" t="str">
        <f t="shared" si="24"/>
        <v/>
      </c>
      <c r="S118" s="24"/>
      <c r="T118" s="5" t="str">
        <f t="shared" si="25"/>
        <v/>
      </c>
      <c r="U118" s="37" t="s">
        <v>5227</v>
      </c>
      <c r="V118" s="5" t="str">
        <f t="shared" si="26"/>
        <v/>
      </c>
      <c r="W118" s="37" t="s">
        <v>5376</v>
      </c>
      <c r="X118" s="5" t="str">
        <f t="shared" si="27"/>
        <v/>
      </c>
      <c r="AB118" t="str">
        <f t="shared" si="28"/>
        <v>Y</v>
      </c>
      <c r="AC118" t="s">
        <v>1047</v>
      </c>
      <c r="AH118" t="str">
        <f t="shared" si="31"/>
        <v>Y</v>
      </c>
      <c r="AI118" t="s">
        <v>1048</v>
      </c>
      <c r="AN118" t="str">
        <f t="shared" si="34"/>
        <v>Y</v>
      </c>
      <c r="AO118" t="s">
        <v>1049</v>
      </c>
      <c r="AP118" t="str">
        <f t="shared" si="35"/>
        <v>Y</v>
      </c>
      <c r="AQ118" s="36" t="s">
        <v>5406</v>
      </c>
    </row>
    <row r="119" spans="1:43" x14ac:dyDescent="0.4">
      <c r="A119" s="7"/>
      <c r="B119" s="7"/>
      <c r="C119" s="7"/>
      <c r="D119" s="7"/>
      <c r="E119" s="7"/>
      <c r="F119" s="7"/>
      <c r="G119" s="24"/>
      <c r="H119" s="30"/>
      <c r="I119" s="37" t="s">
        <v>4523</v>
      </c>
      <c r="J119" s="5" t="str">
        <f t="shared" si="20"/>
        <v/>
      </c>
      <c r="K119" s="24"/>
      <c r="L119" s="30"/>
      <c r="M119" s="24"/>
      <c r="N119" s="5" t="str">
        <f t="shared" si="22"/>
        <v/>
      </c>
      <c r="O119" s="37" t="s">
        <v>4879</v>
      </c>
      <c r="P119" s="5" t="str">
        <f t="shared" si="23"/>
        <v/>
      </c>
      <c r="Q119" s="24"/>
      <c r="R119" s="5" t="str">
        <f t="shared" si="24"/>
        <v/>
      </c>
      <c r="S119" s="24"/>
      <c r="T119" s="5" t="str">
        <f t="shared" si="25"/>
        <v/>
      </c>
      <c r="U119" s="37" t="s">
        <v>5228</v>
      </c>
      <c r="V119" s="5" t="str">
        <f t="shared" si="26"/>
        <v>stock</v>
      </c>
      <c r="W119" s="37" t="s">
        <v>5377</v>
      </c>
      <c r="X119" s="5" t="str">
        <f t="shared" si="27"/>
        <v/>
      </c>
      <c r="AB119" t="str">
        <f t="shared" si="28"/>
        <v>Y</v>
      </c>
      <c r="AC119" t="s">
        <v>1050</v>
      </c>
      <c r="AH119" t="str">
        <f t="shared" si="31"/>
        <v>Y</v>
      </c>
      <c r="AI119" t="s">
        <v>1051</v>
      </c>
      <c r="AN119" t="str">
        <f t="shared" si="34"/>
        <v>N</v>
      </c>
      <c r="AO119" t="s">
        <v>1052</v>
      </c>
      <c r="AP119" t="str">
        <f t="shared" si="35"/>
        <v>Y</v>
      </c>
      <c r="AQ119" t="s">
        <v>1053</v>
      </c>
    </row>
    <row r="120" spans="1:43" x14ac:dyDescent="0.4">
      <c r="A120" s="7"/>
      <c r="B120" s="7"/>
      <c r="C120" s="7"/>
      <c r="D120" s="7"/>
      <c r="E120" s="7"/>
      <c r="F120" s="7"/>
      <c r="G120" s="24"/>
      <c r="H120" s="30"/>
      <c r="I120" s="37" t="s">
        <v>4524</v>
      </c>
      <c r="J120" s="5" t="str">
        <f t="shared" si="20"/>
        <v/>
      </c>
      <c r="K120" s="24"/>
      <c r="L120" s="30"/>
      <c r="M120" s="24"/>
      <c r="N120" s="5" t="str">
        <f t="shared" si="22"/>
        <v/>
      </c>
      <c r="O120" s="37" t="s">
        <v>4880</v>
      </c>
      <c r="P120" s="5" t="str">
        <f t="shared" si="23"/>
        <v/>
      </c>
      <c r="Q120" s="24"/>
      <c r="R120" s="5" t="str">
        <f t="shared" si="24"/>
        <v/>
      </c>
      <c r="S120" s="24"/>
      <c r="T120" s="5" t="str">
        <f t="shared" si="25"/>
        <v/>
      </c>
      <c r="U120" s="37" t="s">
        <v>5229</v>
      </c>
      <c r="V120" s="5" t="str">
        <f t="shared" si="26"/>
        <v/>
      </c>
      <c r="W120" s="37" t="s">
        <v>5378</v>
      </c>
      <c r="X120" s="5" t="str">
        <f t="shared" si="27"/>
        <v/>
      </c>
      <c r="AB120" t="str">
        <f t="shared" si="28"/>
        <v>Y</v>
      </c>
      <c r="AC120" t="s">
        <v>1054</v>
      </c>
      <c r="AH120" t="str">
        <f t="shared" si="31"/>
        <v>Y</v>
      </c>
      <c r="AI120" t="s">
        <v>1055</v>
      </c>
      <c r="AN120" t="str">
        <f t="shared" si="34"/>
        <v>Y</v>
      </c>
      <c r="AO120" t="s">
        <v>1056</v>
      </c>
      <c r="AP120" t="str">
        <f t="shared" si="35"/>
        <v>Y</v>
      </c>
      <c r="AQ120" t="s">
        <v>1057</v>
      </c>
    </row>
    <row r="121" spans="1:43" x14ac:dyDescent="0.4">
      <c r="A121" s="7"/>
      <c r="B121" s="7"/>
      <c r="C121" s="7"/>
      <c r="D121" s="7"/>
      <c r="E121" s="7"/>
      <c r="F121" s="7"/>
      <c r="G121" s="24"/>
      <c r="H121" s="30"/>
      <c r="I121" s="37" t="s">
        <v>4525</v>
      </c>
      <c r="J121" s="5" t="str">
        <f t="shared" si="20"/>
        <v/>
      </c>
      <c r="K121" s="24"/>
      <c r="L121" s="30"/>
      <c r="M121" s="24"/>
      <c r="N121" s="5" t="str">
        <f t="shared" si="22"/>
        <v/>
      </c>
      <c r="O121" s="37" t="s">
        <v>4881</v>
      </c>
      <c r="P121" s="5" t="str">
        <f t="shared" si="23"/>
        <v/>
      </c>
      <c r="Q121" s="24"/>
      <c r="R121" s="5" t="str">
        <f t="shared" si="24"/>
        <v/>
      </c>
      <c r="S121" s="24"/>
      <c r="T121" s="5" t="str">
        <f t="shared" si="25"/>
        <v/>
      </c>
      <c r="U121" s="37" t="s">
        <v>5230</v>
      </c>
      <c r="V121" s="5" t="str">
        <f t="shared" si="26"/>
        <v/>
      </c>
      <c r="W121" s="37" t="s">
        <v>5379</v>
      </c>
      <c r="X121" s="5" t="str">
        <f t="shared" si="27"/>
        <v/>
      </c>
      <c r="AB121" t="str">
        <f t="shared" si="28"/>
        <v>Y</v>
      </c>
      <c r="AC121" t="s">
        <v>1058</v>
      </c>
      <c r="AH121" t="str">
        <f t="shared" si="31"/>
        <v>Y</v>
      </c>
      <c r="AI121" t="s">
        <v>1059</v>
      </c>
      <c r="AN121" t="str">
        <f t="shared" si="34"/>
        <v>Y</v>
      </c>
      <c r="AO121" t="s">
        <v>1060</v>
      </c>
      <c r="AP121" t="str">
        <f t="shared" si="35"/>
        <v>Y</v>
      </c>
      <c r="AQ121" t="s">
        <v>1061</v>
      </c>
    </row>
    <row r="122" spans="1:43" x14ac:dyDescent="0.4">
      <c r="A122" s="7"/>
      <c r="B122" s="7"/>
      <c r="C122" s="7"/>
      <c r="D122" s="7"/>
      <c r="E122" s="7"/>
      <c r="F122" s="7"/>
      <c r="G122" s="24"/>
      <c r="H122" s="30"/>
      <c r="I122" s="37" t="s">
        <v>4526</v>
      </c>
      <c r="J122" s="5" t="str">
        <f t="shared" si="20"/>
        <v/>
      </c>
      <c r="K122" s="24"/>
      <c r="L122" s="30"/>
      <c r="M122" s="24"/>
      <c r="N122" s="5" t="str">
        <f t="shared" si="22"/>
        <v/>
      </c>
      <c r="O122" s="37" t="s">
        <v>4882</v>
      </c>
      <c r="P122" s="5" t="str">
        <f t="shared" si="23"/>
        <v/>
      </c>
      <c r="Q122" s="24"/>
      <c r="R122" s="5" t="str">
        <f t="shared" si="24"/>
        <v/>
      </c>
      <c r="S122" s="24"/>
      <c r="T122" s="5" t="str">
        <f t="shared" si="25"/>
        <v/>
      </c>
      <c r="U122" s="37" t="s">
        <v>5231</v>
      </c>
      <c r="V122" s="5" t="str">
        <f t="shared" si="26"/>
        <v/>
      </c>
      <c r="W122" s="37" t="s">
        <v>5380</v>
      </c>
      <c r="X122" s="5" t="str">
        <f t="shared" si="27"/>
        <v>weeds</v>
      </c>
      <c r="AB122" t="str">
        <f t="shared" si="28"/>
        <v>Y</v>
      </c>
      <c r="AC122" t="s">
        <v>1062</v>
      </c>
      <c r="AH122" t="str">
        <f t="shared" si="31"/>
        <v>Y</v>
      </c>
      <c r="AI122" t="s">
        <v>1063</v>
      </c>
      <c r="AN122" t="str">
        <f t="shared" si="34"/>
        <v>Y</v>
      </c>
      <c r="AO122" t="s">
        <v>1064</v>
      </c>
      <c r="AP122" t="str">
        <f t="shared" si="35"/>
        <v>N</v>
      </c>
      <c r="AQ122" t="s">
        <v>1065</v>
      </c>
    </row>
    <row r="123" spans="1:43" x14ac:dyDescent="0.4">
      <c r="A123" s="7"/>
      <c r="B123" s="7"/>
      <c r="C123" s="7"/>
      <c r="D123" s="7"/>
      <c r="E123" s="7"/>
      <c r="F123" s="7"/>
      <c r="G123" s="24"/>
      <c r="H123" s="30"/>
      <c r="I123" s="37" t="s">
        <v>4527</v>
      </c>
      <c r="J123" s="5" t="str">
        <f t="shared" si="20"/>
        <v/>
      </c>
      <c r="K123" s="24"/>
      <c r="L123" s="30"/>
      <c r="M123" s="24"/>
      <c r="N123" s="5" t="str">
        <f t="shared" si="22"/>
        <v/>
      </c>
      <c r="O123" s="37" t="s">
        <v>4883</v>
      </c>
      <c r="P123" s="5" t="str">
        <f t="shared" si="23"/>
        <v/>
      </c>
      <c r="Q123" s="24"/>
      <c r="R123" s="5" t="str">
        <f t="shared" si="24"/>
        <v/>
      </c>
      <c r="S123" s="24"/>
      <c r="T123" s="5" t="str">
        <f t="shared" si="25"/>
        <v/>
      </c>
      <c r="U123" s="37" t="s">
        <v>5232</v>
      </c>
      <c r="V123" s="5" t="str">
        <f t="shared" si="26"/>
        <v/>
      </c>
      <c r="W123" s="37" t="s">
        <v>5381</v>
      </c>
      <c r="X123" s="5" t="str">
        <f t="shared" si="27"/>
        <v>week</v>
      </c>
      <c r="AB123" t="str">
        <f t="shared" si="28"/>
        <v>Y</v>
      </c>
      <c r="AC123" t="s">
        <v>1066</v>
      </c>
      <c r="AH123" t="str">
        <f t="shared" si="31"/>
        <v>Y</v>
      </c>
      <c r="AI123" t="s">
        <v>1067</v>
      </c>
      <c r="AN123" t="str">
        <f t="shared" si="34"/>
        <v>Y</v>
      </c>
      <c r="AO123" t="s">
        <v>1068</v>
      </c>
      <c r="AP123" t="str">
        <f t="shared" si="35"/>
        <v>N</v>
      </c>
      <c r="AQ123" t="s">
        <v>1069</v>
      </c>
    </row>
    <row r="124" spans="1:43" x14ac:dyDescent="0.4">
      <c r="A124" s="7"/>
      <c r="B124" s="7"/>
      <c r="C124" s="7"/>
      <c r="D124" s="7"/>
      <c r="E124" s="7"/>
      <c r="F124" s="7"/>
      <c r="G124" s="24"/>
      <c r="H124" s="30"/>
      <c r="I124" s="37" t="s">
        <v>4528</v>
      </c>
      <c r="J124" s="5" t="str">
        <f t="shared" si="20"/>
        <v/>
      </c>
      <c r="K124" s="24"/>
      <c r="L124" s="30"/>
      <c r="M124" s="24"/>
      <c r="N124" s="5" t="str">
        <f t="shared" si="22"/>
        <v/>
      </c>
      <c r="O124" s="37" t="s">
        <v>4884</v>
      </c>
      <c r="P124" s="5" t="str">
        <f t="shared" si="23"/>
        <v>medication</v>
      </c>
      <c r="Q124" s="24"/>
      <c r="R124" s="30"/>
      <c r="S124" s="24"/>
      <c r="T124" s="5" t="str">
        <f t="shared" si="25"/>
        <v/>
      </c>
      <c r="U124" s="37" t="s">
        <v>5233</v>
      </c>
      <c r="V124" s="5" t="str">
        <f t="shared" si="26"/>
        <v/>
      </c>
      <c r="W124" s="37" t="s">
        <v>5382</v>
      </c>
      <c r="X124" s="5" t="str">
        <f t="shared" si="27"/>
        <v/>
      </c>
      <c r="AB124" t="str">
        <f t="shared" si="28"/>
        <v>Y</v>
      </c>
      <c r="AC124" t="s">
        <v>1070</v>
      </c>
      <c r="AH124" t="str">
        <f t="shared" si="31"/>
        <v>N</v>
      </c>
      <c r="AI124" t="s">
        <v>1071</v>
      </c>
      <c r="AN124" t="str">
        <f t="shared" si="34"/>
        <v>Y</v>
      </c>
      <c r="AO124" t="s">
        <v>1072</v>
      </c>
      <c r="AP124" t="str">
        <f t="shared" si="35"/>
        <v>Y</v>
      </c>
      <c r="AQ124" t="s">
        <v>1073</v>
      </c>
    </row>
    <row r="125" spans="1:43" x14ac:dyDescent="0.4">
      <c r="A125" s="7"/>
      <c r="B125" s="7"/>
      <c r="C125" s="7"/>
      <c r="D125" s="7"/>
      <c r="E125" s="7"/>
      <c r="F125" s="7"/>
      <c r="G125" s="24"/>
      <c r="H125" s="30"/>
      <c r="I125" s="37" t="s">
        <v>4529</v>
      </c>
      <c r="J125" s="5" t="str">
        <f t="shared" si="20"/>
        <v>creek</v>
      </c>
      <c r="K125" s="24"/>
      <c r="L125" s="30"/>
      <c r="M125" s="24"/>
      <c r="N125" s="5" t="str">
        <f t="shared" si="22"/>
        <v/>
      </c>
      <c r="O125" s="37" t="s">
        <v>4885</v>
      </c>
      <c r="P125" s="5" t="str">
        <f t="shared" si="23"/>
        <v/>
      </c>
      <c r="Q125" s="24"/>
      <c r="R125" s="30"/>
      <c r="S125" s="24"/>
      <c r="T125" s="5" t="str">
        <f t="shared" si="25"/>
        <v/>
      </c>
      <c r="U125" s="37" t="s">
        <v>5234</v>
      </c>
      <c r="V125" s="5" t="str">
        <f t="shared" si="26"/>
        <v/>
      </c>
      <c r="W125" s="37" t="s">
        <v>5383</v>
      </c>
      <c r="X125" s="5" t="str">
        <f t="shared" si="27"/>
        <v/>
      </c>
      <c r="AB125" t="str">
        <f t="shared" si="28"/>
        <v>N</v>
      </c>
      <c r="AC125" t="s">
        <v>1074</v>
      </c>
      <c r="AH125" t="str">
        <f t="shared" si="31"/>
        <v>Y</v>
      </c>
      <c r="AI125" t="s">
        <v>1075</v>
      </c>
      <c r="AN125" t="str">
        <f t="shared" si="34"/>
        <v>Y</v>
      </c>
      <c r="AO125" t="s">
        <v>1076</v>
      </c>
      <c r="AP125" t="str">
        <f t="shared" si="35"/>
        <v>Y</v>
      </c>
      <c r="AQ125" t="s">
        <v>1077</v>
      </c>
    </row>
    <row r="126" spans="1:43" x14ac:dyDescent="0.4">
      <c r="A126" s="7"/>
      <c r="B126" s="7"/>
      <c r="C126" s="7"/>
      <c r="D126" s="7"/>
      <c r="E126" s="7"/>
      <c r="F126" s="7"/>
      <c r="G126" s="24"/>
      <c r="H126" s="30"/>
      <c r="I126" s="37" t="s">
        <v>4530</v>
      </c>
      <c r="J126" s="5" t="str">
        <f t="shared" si="20"/>
        <v/>
      </c>
      <c r="K126" s="24"/>
      <c r="L126" s="30"/>
      <c r="M126" s="24"/>
      <c r="N126" s="5" t="str">
        <f t="shared" si="22"/>
        <v/>
      </c>
      <c r="O126" s="37" t="s">
        <v>4886</v>
      </c>
      <c r="P126" s="5" t="str">
        <f t="shared" si="23"/>
        <v/>
      </c>
      <c r="Q126" s="24"/>
      <c r="R126" s="30"/>
      <c r="S126" s="24"/>
      <c r="T126" s="5" t="str">
        <f t="shared" si="25"/>
        <v/>
      </c>
      <c r="U126" s="37" t="s">
        <v>5235</v>
      </c>
      <c r="V126" s="5" t="str">
        <f t="shared" si="26"/>
        <v/>
      </c>
      <c r="W126" s="37" t="s">
        <v>5384</v>
      </c>
      <c r="X126" s="5" t="str">
        <f t="shared" si="27"/>
        <v>weight</v>
      </c>
      <c r="AB126" t="str">
        <f t="shared" si="28"/>
        <v>Y</v>
      </c>
      <c r="AC126" t="s">
        <v>1078</v>
      </c>
      <c r="AH126" t="str">
        <f t="shared" si="31"/>
        <v>Y</v>
      </c>
      <c r="AI126" t="s">
        <v>1079</v>
      </c>
      <c r="AN126" t="str">
        <f t="shared" si="34"/>
        <v>Y</v>
      </c>
      <c r="AO126" t="s">
        <v>1080</v>
      </c>
      <c r="AP126" t="str">
        <f t="shared" si="35"/>
        <v>N</v>
      </c>
      <c r="AQ126" t="s">
        <v>1081</v>
      </c>
    </row>
    <row r="127" spans="1:43" x14ac:dyDescent="0.4">
      <c r="A127" s="7"/>
      <c r="B127" s="7"/>
      <c r="C127" s="7"/>
      <c r="D127" s="7"/>
      <c r="E127" s="7"/>
      <c r="F127" s="7"/>
      <c r="G127" s="24"/>
      <c r="H127" s="30"/>
      <c r="I127" s="37" t="s">
        <v>4531</v>
      </c>
      <c r="J127" s="5" t="str">
        <f t="shared" si="20"/>
        <v>crisis</v>
      </c>
      <c r="K127" s="24"/>
      <c r="L127" s="30"/>
      <c r="M127" s="24"/>
      <c r="N127" s="5" t="str">
        <f t="shared" si="22"/>
        <v/>
      </c>
      <c r="O127" s="37" t="s">
        <v>4887</v>
      </c>
      <c r="P127" s="5" t="str">
        <f t="shared" si="23"/>
        <v/>
      </c>
      <c r="Q127" s="24"/>
      <c r="R127" s="30"/>
      <c r="S127" s="24"/>
      <c r="T127" s="5" t="str">
        <f t="shared" si="25"/>
        <v/>
      </c>
      <c r="U127" s="37" t="s">
        <v>5236</v>
      </c>
      <c r="V127" s="5" t="str">
        <f t="shared" si="26"/>
        <v/>
      </c>
      <c r="W127" s="37" t="s">
        <v>5385</v>
      </c>
      <c r="X127" s="5" t="str">
        <f t="shared" si="27"/>
        <v xml:space="preserve">welfare </v>
      </c>
      <c r="AB127" t="str">
        <f t="shared" si="28"/>
        <v>N</v>
      </c>
      <c r="AC127" t="s">
        <v>1082</v>
      </c>
      <c r="AH127" t="str">
        <f t="shared" si="31"/>
        <v>Y</v>
      </c>
      <c r="AI127" t="s">
        <v>1083</v>
      </c>
      <c r="AN127" t="str">
        <f t="shared" si="34"/>
        <v>Y</v>
      </c>
      <c r="AO127" t="s">
        <v>1084</v>
      </c>
      <c r="AP127" t="str">
        <f t="shared" si="35"/>
        <v>N</v>
      </c>
      <c r="AQ127" t="s">
        <v>1085</v>
      </c>
    </row>
    <row r="128" spans="1:43" x14ac:dyDescent="0.4">
      <c r="A128" s="7"/>
      <c r="B128" s="7"/>
      <c r="C128" s="7"/>
      <c r="D128" s="7"/>
      <c r="E128" s="7"/>
      <c r="F128" s="7"/>
      <c r="G128" s="24"/>
      <c r="H128" s="30"/>
      <c r="I128" s="37" t="s">
        <v>4532</v>
      </c>
      <c r="J128" s="5" t="str">
        <f t="shared" si="20"/>
        <v/>
      </c>
      <c r="K128" s="24"/>
      <c r="L128" s="30"/>
      <c r="M128" s="24"/>
      <c r="N128" s="5" t="str">
        <f t="shared" si="22"/>
        <v/>
      </c>
      <c r="O128" s="37" t="s">
        <v>4888</v>
      </c>
      <c r="P128" s="5" t="str">
        <f t="shared" si="23"/>
        <v/>
      </c>
      <c r="Q128" s="24"/>
      <c r="R128" s="30"/>
      <c r="S128" s="24"/>
      <c r="T128" s="5" t="str">
        <f t="shared" si="25"/>
        <v/>
      </c>
      <c r="U128" s="37" t="s">
        <v>5237</v>
      </c>
      <c r="V128" s="5" t="str">
        <f t="shared" si="26"/>
        <v/>
      </c>
      <c r="W128" s="37" t="s">
        <v>5386</v>
      </c>
      <c r="X128" s="5" t="str">
        <f t="shared" si="27"/>
        <v/>
      </c>
      <c r="AB128" t="str">
        <f t="shared" si="28"/>
        <v>Y</v>
      </c>
      <c r="AC128" t="s">
        <v>1086</v>
      </c>
      <c r="AH128" t="str">
        <f t="shared" si="31"/>
        <v>Y</v>
      </c>
      <c r="AI128" t="s">
        <v>1087</v>
      </c>
      <c r="AN128" t="str">
        <f t="shared" si="34"/>
        <v>Y</v>
      </c>
      <c r="AO128" t="s">
        <v>1088</v>
      </c>
      <c r="AP128" t="str">
        <f t="shared" si="35"/>
        <v>Y</v>
      </c>
      <c r="AQ128" t="s">
        <v>1089</v>
      </c>
    </row>
    <row r="129" spans="7:43" x14ac:dyDescent="0.4">
      <c r="G129" s="24"/>
      <c r="H129" s="30"/>
      <c r="I129" s="37" t="s">
        <v>4533</v>
      </c>
      <c r="J129" s="5" t="str">
        <f t="shared" si="20"/>
        <v/>
      </c>
      <c r="K129" s="24"/>
      <c r="L129" s="30"/>
      <c r="M129" s="24"/>
      <c r="N129" s="5" t="str">
        <f t="shared" si="22"/>
        <v/>
      </c>
      <c r="O129" s="37" t="s">
        <v>4889</v>
      </c>
      <c r="P129" s="5" t="str">
        <f t="shared" si="23"/>
        <v/>
      </c>
      <c r="Q129" s="24"/>
      <c r="R129" s="30"/>
      <c r="S129" s="24"/>
      <c r="T129" s="5" t="str">
        <f t="shared" si="25"/>
        <v/>
      </c>
      <c r="U129" s="37" t="s">
        <v>5238</v>
      </c>
      <c r="V129" s="5" t="str">
        <f t="shared" si="26"/>
        <v/>
      </c>
      <c r="W129" s="37" t="s">
        <v>5387</v>
      </c>
      <c r="X129" s="5" t="str">
        <f t="shared" si="27"/>
        <v/>
      </c>
      <c r="AB129" t="str">
        <f t="shared" si="28"/>
        <v>Y</v>
      </c>
      <c r="AC129" t="s">
        <v>1090</v>
      </c>
      <c r="AH129" t="str">
        <f t="shared" si="31"/>
        <v>Y</v>
      </c>
      <c r="AI129" t="s">
        <v>1091</v>
      </c>
      <c r="AN129" t="str">
        <f t="shared" si="34"/>
        <v>Y</v>
      </c>
      <c r="AO129" t="s">
        <v>1092</v>
      </c>
      <c r="AP129" t="str">
        <f t="shared" si="35"/>
        <v>Y</v>
      </c>
      <c r="AQ129" t="s">
        <v>1093</v>
      </c>
    </row>
    <row r="130" spans="7:43" x14ac:dyDescent="0.4">
      <c r="G130" s="24"/>
      <c r="H130" s="30"/>
      <c r="I130" s="37" t="s">
        <v>4534</v>
      </c>
      <c r="J130" s="5" t="str">
        <f t="shared" si="20"/>
        <v/>
      </c>
      <c r="K130" s="24"/>
      <c r="L130" s="30"/>
      <c r="M130" s="24"/>
      <c r="N130" s="5" t="str">
        <f t="shared" si="22"/>
        <v/>
      </c>
      <c r="O130" s="37" t="s">
        <v>4890</v>
      </c>
      <c r="P130" s="5" t="str">
        <f t="shared" si="23"/>
        <v/>
      </c>
      <c r="Q130" s="24"/>
      <c r="R130" s="30"/>
      <c r="S130" s="24"/>
      <c r="T130" s="5" t="str">
        <f t="shared" si="25"/>
        <v/>
      </c>
      <c r="U130" s="37" t="s">
        <v>5239</v>
      </c>
      <c r="V130" s="5" t="str">
        <f t="shared" si="26"/>
        <v/>
      </c>
      <c r="W130" s="37" t="s">
        <v>5388</v>
      </c>
      <c r="X130" s="5" t="str">
        <f t="shared" si="27"/>
        <v>whale</v>
      </c>
      <c r="AB130" t="str">
        <f t="shared" si="28"/>
        <v>Y</v>
      </c>
      <c r="AC130" t="s">
        <v>1094</v>
      </c>
      <c r="AH130" t="str">
        <f t="shared" si="31"/>
        <v>Y</v>
      </c>
      <c r="AI130" t="s">
        <v>1095</v>
      </c>
      <c r="AN130" t="str">
        <f t="shared" si="34"/>
        <v>Y</v>
      </c>
      <c r="AO130" t="s">
        <v>1096</v>
      </c>
      <c r="AP130" t="str">
        <f t="shared" si="35"/>
        <v>N</v>
      </c>
      <c r="AQ130" t="s">
        <v>1097</v>
      </c>
    </row>
    <row r="131" spans="7:43" x14ac:dyDescent="0.4">
      <c r="G131" s="24"/>
      <c r="H131" s="30"/>
      <c r="I131" s="37" t="s">
        <v>4535</v>
      </c>
      <c r="J131" s="5" t="str">
        <f t="shared" si="20"/>
        <v/>
      </c>
      <c r="K131" s="24"/>
      <c r="L131" s="30"/>
      <c r="M131" s="24"/>
      <c r="N131" s="5" t="str">
        <f t="shared" si="22"/>
        <v/>
      </c>
      <c r="O131" s="37" t="s">
        <v>4891</v>
      </c>
      <c r="P131" s="5" t="str">
        <f t="shared" si="23"/>
        <v>mileage</v>
      </c>
      <c r="Q131" s="24"/>
      <c r="R131" s="30"/>
      <c r="S131" s="24"/>
      <c r="T131" s="5" t="str">
        <f t="shared" si="25"/>
        <v/>
      </c>
      <c r="U131" s="37" t="s">
        <v>5240</v>
      </c>
      <c r="V131" s="5" t="str">
        <f t="shared" si="26"/>
        <v>subsidy</v>
      </c>
      <c r="W131" s="37" t="s">
        <v>5389</v>
      </c>
      <c r="X131" s="5" t="str">
        <f t="shared" si="27"/>
        <v/>
      </c>
      <c r="AB131" t="str">
        <f t="shared" si="28"/>
        <v>Y</v>
      </c>
      <c r="AC131" t="s">
        <v>1098</v>
      </c>
      <c r="AH131" t="str">
        <f t="shared" si="31"/>
        <v>N</v>
      </c>
      <c r="AI131" t="s">
        <v>1099</v>
      </c>
      <c r="AN131" t="str">
        <f t="shared" si="34"/>
        <v>N</v>
      </c>
      <c r="AO131" t="s">
        <v>1100</v>
      </c>
      <c r="AP131" t="str">
        <f t="shared" si="35"/>
        <v>Y</v>
      </c>
      <c r="AQ131" t="s">
        <v>1101</v>
      </c>
    </row>
    <row r="132" spans="7:43" x14ac:dyDescent="0.4">
      <c r="G132" s="24"/>
      <c r="H132" s="30"/>
      <c r="I132" s="37" t="s">
        <v>4536</v>
      </c>
      <c r="J132" s="5" t="str">
        <f t="shared" ref="J132:J147" si="37">IF(IF(EXACT(AC132,I132)=TRUE,"Y","N")="Y","",VLOOKUP(IF(EXACT(AC132,I132)=TRUE,"Y","N"),AB132:AC132,2,FALSE))</f>
        <v/>
      </c>
      <c r="K132" s="24"/>
      <c r="L132" s="30"/>
      <c r="M132" s="24"/>
      <c r="N132" s="5" t="str">
        <f t="shared" ref="N132:N157" si="38">IF(IF(EXACT(AG132,M132)=TRUE,"Y","N")="Y","",VLOOKUP(IF(EXACT(AG132,M132)=TRUE,"Y","N"),AF132:AG132,2,FALSE))</f>
        <v/>
      </c>
      <c r="O132" s="37" t="s">
        <v>4892</v>
      </c>
      <c r="P132" s="5" t="str">
        <f t="shared" ref="P132:P161" si="39">IF(IF(EXACT(AI132,O132)=TRUE,"Y","N")="Y","",VLOOKUP(IF(EXACT(AI132,O132)=TRUE,"Y","N"),AH132:AI132,2,FALSE))</f>
        <v/>
      </c>
      <c r="Q132" s="24"/>
      <c r="R132" s="30"/>
      <c r="S132" s="24"/>
      <c r="T132" s="5" t="str">
        <f t="shared" ref="T132:T160" si="40">IF(IF(EXACT(AM132,S132)=TRUE,"Y","N")="Y","",VLOOKUP(IF(EXACT(AM132,S132)=TRUE,"Y","N"),AL132:AM132,2,FALSE))</f>
        <v/>
      </c>
      <c r="U132" s="37" t="s">
        <v>5241</v>
      </c>
      <c r="V132" s="5" t="str">
        <f t="shared" ref="V132:V185" si="41">IF(IF(EXACT(AO132,U132)=TRUE,"Y","N")="Y","",VLOOKUP(IF(EXACT(AO132,U132)=TRUE,"Y","N"),AN132:AO132,2,FALSE))</f>
        <v/>
      </c>
      <c r="W132" s="37" t="s">
        <v>5390</v>
      </c>
      <c r="X132" s="5" t="str">
        <f t="shared" ref="X132:X145" si="42">IF(IF(EXACT(AQ132,W132)=TRUE,"Y","N")="Y","",VLOOKUP(IF(EXACT(AQ132,W132)=TRUE,"Y","N"),AP132:AQ132,2,FALSE))</f>
        <v/>
      </c>
      <c r="AB132" t="str">
        <f t="shared" ref="AB132:AB145" si="43">IF(EXACT(AC132,I132)=TRUE,"Y","N")</f>
        <v>Y</v>
      </c>
      <c r="AC132" t="s">
        <v>1102</v>
      </c>
      <c r="AH132" t="str">
        <f t="shared" ref="AH132:AH147" si="44">IF(EXACT(AI132,O132)=TRUE,"Y","N")</f>
        <v>Y</v>
      </c>
      <c r="AI132" t="s">
        <v>1103</v>
      </c>
      <c r="AN132" t="str">
        <f t="shared" ref="AN132:AN154" si="45">IF(EXACT(AO132,U132)=TRUE,"Y","N")</f>
        <v>Y</v>
      </c>
      <c r="AO132" t="s">
        <v>1104</v>
      </c>
      <c r="AP132" t="str">
        <f t="shared" ref="AP132:AP144" si="46">IF(EXACT(AQ132,W132)=TRUE,"Y","N")</f>
        <v>Y</v>
      </c>
      <c r="AQ132" t="s">
        <v>1105</v>
      </c>
    </row>
    <row r="133" spans="7:43" x14ac:dyDescent="0.4">
      <c r="G133" s="24"/>
      <c r="H133" s="30"/>
      <c r="I133" s="37" t="s">
        <v>4537</v>
      </c>
      <c r="J133" s="5" t="str">
        <f t="shared" si="37"/>
        <v/>
      </c>
      <c r="K133" s="24"/>
      <c r="L133" s="30"/>
      <c r="M133" s="24"/>
      <c r="N133" s="5" t="str">
        <f t="shared" si="38"/>
        <v/>
      </c>
      <c r="O133" s="37" t="s">
        <v>4893</v>
      </c>
      <c r="P133" s="5" t="str">
        <f t="shared" si="39"/>
        <v/>
      </c>
      <c r="Q133" s="24"/>
      <c r="R133" s="30"/>
      <c r="S133" s="24"/>
      <c r="T133" s="5" t="str">
        <f t="shared" si="40"/>
        <v/>
      </c>
      <c r="U133" s="37" t="s">
        <v>5242</v>
      </c>
      <c r="V133" s="5" t="str">
        <f t="shared" si="41"/>
        <v/>
      </c>
      <c r="W133" s="37" t="s">
        <v>5391</v>
      </c>
      <c r="X133" s="5" t="str">
        <f t="shared" si="42"/>
        <v/>
      </c>
      <c r="AB133" t="str">
        <f t="shared" si="43"/>
        <v>Y</v>
      </c>
      <c r="AC133" t="s">
        <v>1106</v>
      </c>
      <c r="AH133" t="str">
        <f t="shared" si="44"/>
        <v>Y</v>
      </c>
      <c r="AI133" t="s">
        <v>1107</v>
      </c>
      <c r="AN133" t="str">
        <f t="shared" si="45"/>
        <v>Y</v>
      </c>
      <c r="AO133" t="s">
        <v>1108</v>
      </c>
      <c r="AP133" t="str">
        <f t="shared" si="46"/>
        <v>Y</v>
      </c>
      <c r="AQ133" t="s">
        <v>1109</v>
      </c>
    </row>
    <row r="134" spans="7:43" x14ac:dyDescent="0.4">
      <c r="G134" s="24"/>
      <c r="H134" s="30"/>
      <c r="I134" s="37" t="s">
        <v>4538</v>
      </c>
      <c r="J134" s="5" t="str">
        <f t="shared" si="37"/>
        <v>curtain</v>
      </c>
      <c r="K134" s="24"/>
      <c r="L134" s="30"/>
      <c r="M134" s="24"/>
      <c r="N134" s="5" t="str">
        <f t="shared" si="38"/>
        <v/>
      </c>
      <c r="O134" s="37" t="s">
        <v>4894</v>
      </c>
      <c r="P134" s="5" t="str">
        <f t="shared" si="39"/>
        <v/>
      </c>
      <c r="Q134" s="24"/>
      <c r="R134" s="30"/>
      <c r="S134" s="24"/>
      <c r="T134" s="5" t="str">
        <f t="shared" si="40"/>
        <v/>
      </c>
      <c r="U134" s="37" t="s">
        <v>5243</v>
      </c>
      <c r="V134" s="5" t="str">
        <f t="shared" si="41"/>
        <v/>
      </c>
      <c r="W134" s="37" t="s">
        <v>5392</v>
      </c>
      <c r="X134" s="5" t="str">
        <f t="shared" si="42"/>
        <v/>
      </c>
      <c r="AB134" t="str">
        <f t="shared" si="43"/>
        <v>N</v>
      </c>
      <c r="AC134" t="s">
        <v>1110</v>
      </c>
      <c r="AH134" t="str">
        <f t="shared" si="44"/>
        <v>Y</v>
      </c>
      <c r="AI134" t="s">
        <v>1111</v>
      </c>
      <c r="AN134" t="str">
        <f t="shared" si="45"/>
        <v>Y</v>
      </c>
      <c r="AO134" t="s">
        <v>1112</v>
      </c>
      <c r="AP134" t="str">
        <f t="shared" si="46"/>
        <v>Y</v>
      </c>
      <c r="AQ134" t="s">
        <v>1113</v>
      </c>
    </row>
    <row r="135" spans="7:43" x14ac:dyDescent="0.4">
      <c r="G135" s="24"/>
      <c r="H135" s="30"/>
      <c r="I135" s="37" t="s">
        <v>4539</v>
      </c>
      <c r="J135" s="5" t="str">
        <f t="shared" si="37"/>
        <v/>
      </c>
      <c r="K135" s="24"/>
      <c r="L135" s="30"/>
      <c r="M135" s="24"/>
      <c r="N135" s="5" t="str">
        <f t="shared" si="38"/>
        <v/>
      </c>
      <c r="O135" s="37" t="s">
        <v>4895</v>
      </c>
      <c r="P135" s="5" t="str">
        <f t="shared" si="39"/>
        <v/>
      </c>
      <c r="Q135" s="24"/>
      <c r="R135" s="30"/>
      <c r="S135" s="24"/>
      <c r="T135" s="5" t="str">
        <f t="shared" si="40"/>
        <v/>
      </c>
      <c r="U135" s="37" t="s">
        <v>5244</v>
      </c>
      <c r="V135" s="5" t="str">
        <f t="shared" si="41"/>
        <v>sunshield</v>
      </c>
      <c r="W135" s="37" t="s">
        <v>5393</v>
      </c>
      <c r="X135" s="5" t="str">
        <f t="shared" si="42"/>
        <v/>
      </c>
      <c r="AB135" t="str">
        <f t="shared" si="43"/>
        <v>Y</v>
      </c>
      <c r="AC135" t="s">
        <v>1114</v>
      </c>
      <c r="AH135" t="str">
        <f t="shared" si="44"/>
        <v>Y</v>
      </c>
      <c r="AI135" t="s">
        <v>1115</v>
      </c>
      <c r="AN135" t="str">
        <f t="shared" si="45"/>
        <v>N</v>
      </c>
      <c r="AO135" t="s">
        <v>1116</v>
      </c>
      <c r="AP135" t="str">
        <f t="shared" si="46"/>
        <v>Y</v>
      </c>
      <c r="AQ135" t="s">
        <v>1117</v>
      </c>
    </row>
    <row r="136" spans="7:43" x14ac:dyDescent="0.4">
      <c r="G136" s="24"/>
      <c r="H136" s="30"/>
      <c r="I136" s="37" t="s">
        <v>4540</v>
      </c>
      <c r="J136" s="5" t="str">
        <f t="shared" si="37"/>
        <v>cutlery</v>
      </c>
      <c r="K136" s="24"/>
      <c r="L136" s="30"/>
      <c r="M136" s="24"/>
      <c r="N136" s="5" t="str">
        <f t="shared" si="38"/>
        <v/>
      </c>
      <c r="O136" s="37" t="s">
        <v>4896</v>
      </c>
      <c r="P136" s="5" t="str">
        <f t="shared" si="39"/>
        <v/>
      </c>
      <c r="Q136" s="24"/>
      <c r="R136" s="30"/>
      <c r="S136" s="24"/>
      <c r="T136" s="5" t="str">
        <f t="shared" si="40"/>
        <v/>
      </c>
      <c r="U136" s="37" t="s">
        <v>5245</v>
      </c>
      <c r="V136" s="5" t="str">
        <f t="shared" si="41"/>
        <v/>
      </c>
      <c r="W136" s="37" t="s">
        <v>5368</v>
      </c>
      <c r="X136" s="5" t="str">
        <f t="shared" si="42"/>
        <v>word</v>
      </c>
      <c r="AB136" t="str">
        <f t="shared" si="43"/>
        <v>N</v>
      </c>
      <c r="AC136" t="s">
        <v>1118</v>
      </c>
      <c r="AH136" t="str">
        <f t="shared" si="44"/>
        <v>Y</v>
      </c>
      <c r="AI136" t="s">
        <v>1119</v>
      </c>
      <c r="AN136" t="str">
        <f t="shared" si="45"/>
        <v>Y</v>
      </c>
      <c r="AO136" t="s">
        <v>1120</v>
      </c>
      <c r="AP136" t="str">
        <f t="shared" si="46"/>
        <v>N</v>
      </c>
      <c r="AQ136" t="s">
        <v>1121</v>
      </c>
    </row>
    <row r="137" spans="7:43" x14ac:dyDescent="0.4">
      <c r="G137" s="24"/>
      <c r="H137" s="30"/>
      <c r="I137" s="37" t="s">
        <v>4541</v>
      </c>
      <c r="J137" s="5" t="str">
        <f t="shared" si="37"/>
        <v/>
      </c>
      <c r="K137" s="24"/>
      <c r="L137" s="30"/>
      <c r="M137" s="24"/>
      <c r="N137" s="5" t="str">
        <f t="shared" si="38"/>
        <v/>
      </c>
      <c r="O137" s="37" t="s">
        <v>4897</v>
      </c>
      <c r="P137" s="5" t="str">
        <f t="shared" si="39"/>
        <v/>
      </c>
      <c r="Q137" s="24"/>
      <c r="R137" s="30"/>
      <c r="S137" s="24"/>
      <c r="T137" s="5" t="str">
        <f t="shared" si="40"/>
        <v/>
      </c>
      <c r="U137" s="37" t="s">
        <v>5246</v>
      </c>
      <c r="V137" s="5" t="str">
        <f t="shared" si="41"/>
        <v/>
      </c>
      <c r="W137" s="37" t="s">
        <v>5394</v>
      </c>
      <c r="X137" s="5" t="str">
        <f t="shared" si="42"/>
        <v/>
      </c>
      <c r="AB137" t="str">
        <f t="shared" si="43"/>
        <v>Y</v>
      </c>
      <c r="AC137" t="s">
        <v>1122</v>
      </c>
      <c r="AH137" t="str">
        <f t="shared" si="44"/>
        <v>Y</v>
      </c>
      <c r="AI137" t="s">
        <v>1123</v>
      </c>
      <c r="AN137" t="str">
        <f t="shared" si="45"/>
        <v>Y</v>
      </c>
      <c r="AO137" t="s">
        <v>1124</v>
      </c>
      <c r="AP137" t="str">
        <f t="shared" si="46"/>
        <v>Y</v>
      </c>
      <c r="AQ137" t="s">
        <v>1125</v>
      </c>
    </row>
    <row r="138" spans="7:43" x14ac:dyDescent="0.4">
      <c r="G138" s="24"/>
      <c r="H138" s="30"/>
      <c r="I138" s="37" t="s">
        <v>4542</v>
      </c>
      <c r="J138" s="5" t="str">
        <f t="shared" si="37"/>
        <v/>
      </c>
      <c r="K138" s="24"/>
      <c r="L138" s="30"/>
      <c r="M138" s="24"/>
      <c r="N138" s="5" t="str">
        <f t="shared" si="38"/>
        <v/>
      </c>
      <c r="O138" s="37" t="s">
        <v>4898</v>
      </c>
      <c r="P138" s="5" t="str">
        <f t="shared" si="39"/>
        <v xml:space="preserve">mixture </v>
      </c>
      <c r="Q138" s="24"/>
      <c r="R138" s="30"/>
      <c r="S138" s="24"/>
      <c r="T138" s="5" t="str">
        <f t="shared" si="40"/>
        <v/>
      </c>
      <c r="U138" s="37" t="s">
        <v>5247</v>
      </c>
      <c r="V138" s="5" t="str">
        <f t="shared" si="41"/>
        <v/>
      </c>
      <c r="W138" s="37" t="s">
        <v>5395</v>
      </c>
      <c r="X138" s="5" t="str">
        <f t="shared" si="42"/>
        <v/>
      </c>
      <c r="AB138" t="str">
        <f t="shared" si="43"/>
        <v>Y</v>
      </c>
      <c r="AC138" t="s">
        <v>1126</v>
      </c>
      <c r="AH138" t="str">
        <f t="shared" si="44"/>
        <v>N</v>
      </c>
      <c r="AI138" t="s">
        <v>1127</v>
      </c>
      <c r="AN138" t="str">
        <f t="shared" si="45"/>
        <v>Y</v>
      </c>
      <c r="AO138" t="s">
        <v>1128</v>
      </c>
      <c r="AP138" t="str">
        <f t="shared" si="46"/>
        <v>Y</v>
      </c>
      <c r="AQ138" t="s">
        <v>1129</v>
      </c>
    </row>
    <row r="139" spans="7:43" x14ac:dyDescent="0.4">
      <c r="G139" s="24"/>
      <c r="H139" s="30"/>
      <c r="I139" s="37" t="s">
        <v>4543</v>
      </c>
      <c r="J139" s="5" t="str">
        <f t="shared" si="37"/>
        <v/>
      </c>
      <c r="K139" s="24"/>
      <c r="L139" s="30"/>
      <c r="M139" s="24"/>
      <c r="N139" s="5" t="str">
        <f t="shared" si="38"/>
        <v/>
      </c>
      <c r="O139" s="37" t="s">
        <v>4899</v>
      </c>
      <c r="P139" s="5" t="str">
        <f t="shared" si="39"/>
        <v/>
      </c>
      <c r="Q139" s="24"/>
      <c r="R139" s="30"/>
      <c r="S139" s="24"/>
      <c r="T139" s="5" t="str">
        <f t="shared" si="40"/>
        <v/>
      </c>
      <c r="U139" s="37" t="s">
        <v>5248</v>
      </c>
      <c r="V139" s="5" t="str">
        <f t="shared" si="41"/>
        <v>surgeon</v>
      </c>
      <c r="W139" s="37" t="s">
        <v>5396</v>
      </c>
      <c r="X139" s="5" t="str">
        <f t="shared" si="42"/>
        <v>wound</v>
      </c>
      <c r="AB139" t="str">
        <f t="shared" si="43"/>
        <v>Y</v>
      </c>
      <c r="AC139" t="s">
        <v>1130</v>
      </c>
      <c r="AH139" t="str">
        <f t="shared" si="44"/>
        <v>Y</v>
      </c>
      <c r="AI139" t="s">
        <v>1131</v>
      </c>
      <c r="AN139" t="str">
        <f t="shared" si="45"/>
        <v>N</v>
      </c>
      <c r="AO139" t="s">
        <v>1132</v>
      </c>
      <c r="AP139" t="str">
        <f t="shared" si="46"/>
        <v>N</v>
      </c>
      <c r="AQ139" t="s">
        <v>1133</v>
      </c>
    </row>
    <row r="140" spans="7:43" x14ac:dyDescent="0.4">
      <c r="G140" s="24"/>
      <c r="H140" s="30"/>
      <c r="I140" s="37" t="s">
        <v>4544</v>
      </c>
      <c r="J140" s="5" t="str">
        <f t="shared" si="37"/>
        <v/>
      </c>
      <c r="K140" s="24"/>
      <c r="L140" s="30"/>
      <c r="M140" s="24"/>
      <c r="N140" s="5" t="str">
        <f t="shared" si="38"/>
        <v/>
      </c>
      <c r="O140" s="37" t="s">
        <v>4900</v>
      </c>
      <c r="P140" s="5" t="str">
        <f t="shared" si="39"/>
        <v/>
      </c>
      <c r="Q140" s="24"/>
      <c r="R140" s="30"/>
      <c r="S140" s="24"/>
      <c r="T140" s="5" t="str">
        <f t="shared" si="40"/>
        <v/>
      </c>
      <c r="U140" s="37" t="s">
        <v>5249</v>
      </c>
      <c r="V140" s="5" t="str">
        <f t="shared" si="41"/>
        <v/>
      </c>
      <c r="W140" s="37" t="s">
        <v>5397</v>
      </c>
      <c r="X140" s="5" t="str">
        <f t="shared" si="42"/>
        <v/>
      </c>
      <c r="AB140" t="str">
        <f t="shared" si="43"/>
        <v>Y</v>
      </c>
      <c r="AC140" t="s">
        <v>1134</v>
      </c>
      <c r="AH140" t="str">
        <f t="shared" si="44"/>
        <v>Y</v>
      </c>
      <c r="AI140" t="s">
        <v>1135</v>
      </c>
      <c r="AN140" t="str">
        <f t="shared" si="45"/>
        <v>Y</v>
      </c>
      <c r="AO140" t="s">
        <v>1136</v>
      </c>
      <c r="AP140" t="str">
        <f t="shared" si="46"/>
        <v>Y</v>
      </c>
      <c r="AQ140" t="s">
        <v>1137</v>
      </c>
    </row>
    <row r="141" spans="7:43" x14ac:dyDescent="0.4">
      <c r="G141" s="24"/>
      <c r="H141" s="30"/>
      <c r="I141" s="37" t="s">
        <v>4545</v>
      </c>
      <c r="J141" s="5" t="str">
        <f t="shared" si="37"/>
        <v/>
      </c>
      <c r="K141" s="24"/>
      <c r="L141" s="30"/>
      <c r="M141" s="24"/>
      <c r="N141" s="5" t="str">
        <f t="shared" si="38"/>
        <v/>
      </c>
      <c r="O141" s="37" t="s">
        <v>4901</v>
      </c>
      <c r="P141" s="5" t="str">
        <f t="shared" si="39"/>
        <v/>
      </c>
      <c r="Q141" s="24"/>
      <c r="R141" s="30"/>
      <c r="S141" s="24"/>
      <c r="T141" s="5" t="str">
        <f t="shared" si="40"/>
        <v/>
      </c>
      <c r="U141" s="37" t="s">
        <v>5250</v>
      </c>
      <c r="V141" s="5" t="str">
        <f t="shared" si="41"/>
        <v/>
      </c>
      <c r="W141" s="37" t="s">
        <v>5398</v>
      </c>
      <c r="X141" s="5" t="str">
        <f t="shared" si="42"/>
        <v/>
      </c>
      <c r="AB141" t="str">
        <f t="shared" si="43"/>
        <v>Y</v>
      </c>
      <c r="AC141" t="s">
        <v>1138</v>
      </c>
      <c r="AH141" t="str">
        <f t="shared" si="44"/>
        <v>Y</v>
      </c>
      <c r="AI141" t="s">
        <v>1139</v>
      </c>
      <c r="AN141" t="str">
        <f t="shared" si="45"/>
        <v>Y</v>
      </c>
      <c r="AO141" t="s">
        <v>1140</v>
      </c>
      <c r="AP141" t="str">
        <f t="shared" si="46"/>
        <v>Y</v>
      </c>
      <c r="AQ141" t="s">
        <v>1141</v>
      </c>
    </row>
    <row r="142" spans="7:43" x14ac:dyDescent="0.4">
      <c r="G142" s="24"/>
      <c r="H142" s="30"/>
      <c r="I142" s="37" t="s">
        <v>4546</v>
      </c>
      <c r="J142" s="5" t="str">
        <f t="shared" si="37"/>
        <v/>
      </c>
      <c r="K142" s="24"/>
      <c r="L142" s="30"/>
      <c r="M142" s="24"/>
      <c r="N142" s="5" t="str">
        <f t="shared" si="38"/>
        <v/>
      </c>
      <c r="O142" s="37" t="s">
        <v>4902</v>
      </c>
      <c r="P142" s="5" t="str">
        <f t="shared" si="39"/>
        <v/>
      </c>
      <c r="Q142" s="24"/>
      <c r="R142" s="30"/>
      <c r="S142" s="24"/>
      <c r="T142" s="5" t="str">
        <f t="shared" si="40"/>
        <v/>
      </c>
      <c r="U142" s="37" t="s">
        <v>5251</v>
      </c>
      <c r="V142" s="5" t="str">
        <f t="shared" si="41"/>
        <v/>
      </c>
      <c r="W142" s="37" t="s">
        <v>5399</v>
      </c>
      <c r="X142" s="5" t="str">
        <f t="shared" si="42"/>
        <v/>
      </c>
      <c r="AB142" t="str">
        <f t="shared" si="43"/>
        <v>Y</v>
      </c>
      <c r="AC142" t="s">
        <v>1142</v>
      </c>
      <c r="AH142" t="str">
        <f t="shared" si="44"/>
        <v>Y</v>
      </c>
      <c r="AI142" t="s">
        <v>1143</v>
      </c>
      <c r="AN142" t="str">
        <f t="shared" si="45"/>
        <v>Y</v>
      </c>
      <c r="AO142" t="s">
        <v>1144</v>
      </c>
      <c r="AP142" t="str">
        <f t="shared" si="46"/>
        <v>Y</v>
      </c>
      <c r="AQ142" t="s">
        <v>1145</v>
      </c>
    </row>
    <row r="143" spans="7:43" x14ac:dyDescent="0.4">
      <c r="G143" s="24"/>
      <c r="H143" s="30"/>
      <c r="I143" s="37" t="s">
        <v>4547</v>
      </c>
      <c r="J143" s="5" t="str">
        <f t="shared" si="37"/>
        <v/>
      </c>
      <c r="K143" s="24"/>
      <c r="L143" s="30"/>
      <c r="M143" s="24"/>
      <c r="N143" s="5" t="str">
        <f t="shared" si="38"/>
        <v/>
      </c>
      <c r="O143" s="37" t="s">
        <v>4903</v>
      </c>
      <c r="P143" s="5" t="str">
        <f t="shared" si="39"/>
        <v/>
      </c>
      <c r="Q143" s="24"/>
      <c r="R143" s="30"/>
      <c r="S143" s="24"/>
      <c r="T143" s="5" t="str">
        <f t="shared" si="40"/>
        <v/>
      </c>
      <c r="U143" s="37" t="s">
        <v>5252</v>
      </c>
      <c r="V143" s="5" t="str">
        <f t="shared" si="41"/>
        <v/>
      </c>
      <c r="W143" s="37" t="s">
        <v>5400</v>
      </c>
      <c r="X143" s="5" t="str">
        <f t="shared" si="42"/>
        <v/>
      </c>
      <c r="AB143" t="str">
        <f t="shared" si="43"/>
        <v>Y</v>
      </c>
      <c r="AC143" t="s">
        <v>1146</v>
      </c>
      <c r="AH143" t="str">
        <f t="shared" si="44"/>
        <v>Y</v>
      </c>
      <c r="AI143" t="s">
        <v>1147</v>
      </c>
      <c r="AN143" t="str">
        <f t="shared" si="45"/>
        <v>Y</v>
      </c>
      <c r="AO143" s="36" t="s">
        <v>5407</v>
      </c>
      <c r="AP143" t="str">
        <f t="shared" si="46"/>
        <v>Y</v>
      </c>
      <c r="AQ143" t="s">
        <v>1148</v>
      </c>
    </row>
    <row r="144" spans="7:43" x14ac:dyDescent="0.4">
      <c r="G144" s="24"/>
      <c r="H144" s="30"/>
      <c r="I144" s="37" t="s">
        <v>4548</v>
      </c>
      <c r="J144" s="5" t="str">
        <f t="shared" si="37"/>
        <v/>
      </c>
      <c r="K144" s="24"/>
      <c r="L144" s="30"/>
      <c r="M144" s="24"/>
      <c r="N144" s="5" t="str">
        <f t="shared" si="38"/>
        <v/>
      </c>
      <c r="O144" s="37" t="s">
        <v>4904</v>
      </c>
      <c r="P144" s="5" t="str">
        <f t="shared" si="39"/>
        <v/>
      </c>
      <c r="Q144" s="24"/>
      <c r="R144" s="30"/>
      <c r="S144" s="24"/>
      <c r="T144" s="5" t="str">
        <f t="shared" si="40"/>
        <v/>
      </c>
      <c r="U144" s="37" t="s">
        <v>5253</v>
      </c>
      <c r="V144" s="5" t="str">
        <f t="shared" si="41"/>
        <v/>
      </c>
      <c r="W144" s="37" t="s">
        <v>5401</v>
      </c>
      <c r="X144" s="5" t="str">
        <f t="shared" si="42"/>
        <v/>
      </c>
      <c r="AB144" t="str">
        <f t="shared" si="43"/>
        <v>Y</v>
      </c>
      <c r="AC144" t="s">
        <v>1149</v>
      </c>
      <c r="AH144" t="str">
        <f t="shared" si="44"/>
        <v>Y</v>
      </c>
      <c r="AI144" t="s">
        <v>1150</v>
      </c>
      <c r="AN144" t="str">
        <f t="shared" si="45"/>
        <v>Y</v>
      </c>
      <c r="AO144" t="s">
        <v>1151</v>
      </c>
      <c r="AP144" t="str">
        <f t="shared" si="46"/>
        <v>Y</v>
      </c>
      <c r="AQ144" t="s">
        <v>1152</v>
      </c>
    </row>
    <row r="145" spans="7:41" x14ac:dyDescent="0.4">
      <c r="G145" s="24"/>
      <c r="H145" s="31"/>
      <c r="I145" s="37" t="s">
        <v>4549</v>
      </c>
      <c r="J145" s="5" t="str">
        <f t="shared" si="37"/>
        <v/>
      </c>
      <c r="K145" s="24"/>
      <c r="L145" s="30"/>
      <c r="M145" s="24"/>
      <c r="N145" s="5" t="str">
        <f t="shared" si="38"/>
        <v/>
      </c>
      <c r="O145" s="37" t="s">
        <v>4905</v>
      </c>
      <c r="P145" s="5" t="str">
        <f t="shared" si="39"/>
        <v>mosquito</v>
      </c>
      <c r="Q145" s="24"/>
      <c r="R145" s="30"/>
      <c r="S145" s="24"/>
      <c r="T145" s="5" t="str">
        <f t="shared" si="40"/>
        <v/>
      </c>
      <c r="U145" s="37" t="s">
        <v>5254</v>
      </c>
      <c r="V145" s="5" t="str">
        <f t="shared" si="41"/>
        <v/>
      </c>
      <c r="W145" s="24"/>
      <c r="X145" s="5" t="str">
        <f t="shared" si="42"/>
        <v/>
      </c>
      <c r="AB145" t="str">
        <f t="shared" si="43"/>
        <v>Y</v>
      </c>
      <c r="AC145" t="s">
        <v>1153</v>
      </c>
      <c r="AH145" t="str">
        <f t="shared" si="44"/>
        <v>N</v>
      </c>
      <c r="AI145" t="s">
        <v>1154</v>
      </c>
      <c r="AN145" t="str">
        <f t="shared" si="45"/>
        <v>Y</v>
      </c>
      <c r="AO145" t="s">
        <v>1155</v>
      </c>
    </row>
    <row r="146" spans="7:41" x14ac:dyDescent="0.4">
      <c r="G146" s="24"/>
      <c r="H146" s="31"/>
      <c r="I146" s="24"/>
      <c r="J146" s="5" t="str">
        <f t="shared" si="37"/>
        <v/>
      </c>
      <c r="K146" s="24"/>
      <c r="L146" s="31"/>
      <c r="M146" s="24"/>
      <c r="N146" s="5" t="str">
        <f t="shared" si="38"/>
        <v/>
      </c>
      <c r="O146" s="37" t="s">
        <v>4906</v>
      </c>
      <c r="P146" s="5" t="str">
        <f t="shared" si="39"/>
        <v/>
      </c>
      <c r="Q146" s="24"/>
      <c r="R146" s="30"/>
      <c r="S146" s="24"/>
      <c r="T146" s="5" t="str">
        <f t="shared" si="40"/>
        <v/>
      </c>
      <c r="U146" s="37" t="s">
        <v>5255</v>
      </c>
      <c r="V146" s="5" t="str">
        <f t="shared" si="41"/>
        <v/>
      </c>
      <c r="W146" s="24"/>
      <c r="X146" s="30"/>
      <c r="AB146" t="str">
        <f>IF(EXACT(AC147,I146)=TRUE,"Y","N")</f>
        <v>Y</v>
      </c>
      <c r="AH146" t="str">
        <f t="shared" si="44"/>
        <v>Y</v>
      </c>
      <c r="AI146" t="s">
        <v>1156</v>
      </c>
      <c r="AN146" t="str">
        <f t="shared" si="45"/>
        <v>Y</v>
      </c>
      <c r="AO146" t="s">
        <v>1157</v>
      </c>
    </row>
    <row r="147" spans="7:41" x14ac:dyDescent="0.4">
      <c r="G147" s="24"/>
      <c r="H147" s="31"/>
      <c r="I147" s="24"/>
      <c r="J147" s="5" t="str">
        <f t="shared" si="37"/>
        <v/>
      </c>
      <c r="K147" s="24"/>
      <c r="L147" s="31"/>
      <c r="M147" s="24"/>
      <c r="N147" s="5" t="str">
        <f t="shared" si="38"/>
        <v/>
      </c>
      <c r="O147" s="37" t="s">
        <v>4907</v>
      </c>
      <c r="P147" s="5" t="str">
        <f t="shared" si="39"/>
        <v/>
      </c>
      <c r="Q147" s="24"/>
      <c r="R147" s="30"/>
      <c r="S147" s="24"/>
      <c r="T147" s="5" t="str">
        <f t="shared" si="40"/>
        <v/>
      </c>
      <c r="U147" s="37" t="s">
        <v>5256</v>
      </c>
      <c r="V147" s="5" t="str">
        <f t="shared" si="41"/>
        <v>symptom</v>
      </c>
      <c r="W147" s="24"/>
      <c r="X147" s="30"/>
      <c r="AB147" t="str">
        <f>IF(EXACT(AC148,I147)=TRUE,"Y","N")</f>
        <v>Y</v>
      </c>
      <c r="AH147" t="str">
        <f t="shared" si="44"/>
        <v>Y</v>
      </c>
      <c r="AI147" t="s">
        <v>1158</v>
      </c>
      <c r="AN147" t="str">
        <f t="shared" si="45"/>
        <v>N</v>
      </c>
      <c r="AO147" t="s">
        <v>1159</v>
      </c>
    </row>
    <row r="148" spans="7:41" x14ac:dyDescent="0.4">
      <c r="G148" s="24"/>
      <c r="H148" s="31"/>
      <c r="I148" s="24"/>
      <c r="J148" s="24"/>
      <c r="K148" s="24"/>
      <c r="L148" s="31"/>
      <c r="M148" s="24"/>
      <c r="N148" s="5" t="str">
        <f t="shared" si="38"/>
        <v/>
      </c>
      <c r="O148" s="24"/>
      <c r="P148" s="5" t="str">
        <f t="shared" si="39"/>
        <v/>
      </c>
      <c r="Q148" s="24"/>
      <c r="R148" s="33"/>
      <c r="S148" s="24"/>
      <c r="T148" s="5" t="str">
        <f t="shared" si="40"/>
        <v/>
      </c>
      <c r="U148" s="37" t="s">
        <v>5257</v>
      </c>
      <c r="V148" s="5" t="str">
        <f t="shared" si="41"/>
        <v>syndicate</v>
      </c>
      <c r="W148" s="24"/>
      <c r="X148" s="30"/>
      <c r="AB148" t="str">
        <f>IF(EXACT(AC149,I148)=TRUE,"Y","N")</f>
        <v>Y</v>
      </c>
      <c r="AN148" t="str">
        <f t="shared" si="45"/>
        <v>N</v>
      </c>
      <c r="AO148" t="s">
        <v>1160</v>
      </c>
    </row>
    <row r="149" spans="7:41" x14ac:dyDescent="0.4">
      <c r="G149" s="24"/>
      <c r="H149" s="31"/>
      <c r="I149" s="24"/>
      <c r="J149" s="24"/>
      <c r="K149" s="24"/>
      <c r="L149" s="31"/>
      <c r="M149" s="24"/>
      <c r="N149" s="5" t="str">
        <f t="shared" si="38"/>
        <v/>
      </c>
      <c r="O149" s="24"/>
      <c r="P149" s="5" t="str">
        <f t="shared" si="39"/>
        <v/>
      </c>
      <c r="Q149" s="24"/>
      <c r="R149" s="33"/>
      <c r="S149" s="24"/>
      <c r="T149" s="5" t="str">
        <f t="shared" si="40"/>
        <v/>
      </c>
      <c r="U149" s="37" t="s">
        <v>5258</v>
      </c>
      <c r="V149" s="5" t="str">
        <f t="shared" si="41"/>
        <v>syrup</v>
      </c>
      <c r="W149" s="24"/>
      <c r="X149" s="30"/>
      <c r="AN149" t="str">
        <f t="shared" si="45"/>
        <v>N</v>
      </c>
      <c r="AO149" t="s">
        <v>1161</v>
      </c>
    </row>
    <row r="150" spans="7:41" x14ac:dyDescent="0.4">
      <c r="G150" s="24"/>
      <c r="H150" s="31"/>
      <c r="I150" s="24"/>
      <c r="J150" s="24"/>
      <c r="K150" s="24"/>
      <c r="L150" s="31"/>
      <c r="M150" s="24"/>
      <c r="N150" s="5" t="str">
        <f t="shared" si="38"/>
        <v/>
      </c>
      <c r="O150" s="24"/>
      <c r="P150" s="5" t="str">
        <f t="shared" si="39"/>
        <v/>
      </c>
      <c r="Q150" s="24"/>
      <c r="R150" s="33"/>
      <c r="S150" s="24"/>
      <c r="T150" s="5" t="str">
        <f t="shared" si="40"/>
        <v/>
      </c>
      <c r="U150" s="37" t="s">
        <v>5259</v>
      </c>
      <c r="V150" s="5" t="str">
        <f t="shared" si="41"/>
        <v/>
      </c>
      <c r="W150" s="24"/>
      <c r="X150" s="30"/>
      <c r="AN150" t="str">
        <f t="shared" si="45"/>
        <v>Y</v>
      </c>
      <c r="AO150" t="s">
        <v>1162</v>
      </c>
    </row>
    <row r="151" spans="7:41" x14ac:dyDescent="0.4">
      <c r="G151" s="24"/>
      <c r="H151" s="31"/>
      <c r="I151" s="24"/>
      <c r="J151" s="24"/>
      <c r="K151" s="24"/>
      <c r="L151" s="31"/>
      <c r="M151" s="24"/>
      <c r="N151" s="5" t="str">
        <f t="shared" si="38"/>
        <v/>
      </c>
      <c r="O151" s="24"/>
      <c r="P151" s="5" t="str">
        <f t="shared" si="39"/>
        <v/>
      </c>
      <c r="Q151" s="24"/>
      <c r="R151" s="33"/>
      <c r="S151" s="24"/>
      <c r="T151" s="5" t="str">
        <f t="shared" si="40"/>
        <v/>
      </c>
      <c r="U151" s="37" t="s">
        <v>5260</v>
      </c>
      <c r="V151" s="5" t="str">
        <f t="shared" si="41"/>
        <v/>
      </c>
      <c r="W151" s="24"/>
      <c r="X151" s="24"/>
      <c r="AN151" t="str">
        <f t="shared" si="45"/>
        <v>Y</v>
      </c>
      <c r="AO151" t="s">
        <v>1163</v>
      </c>
    </row>
    <row r="152" spans="7:41" x14ac:dyDescent="0.4">
      <c r="G152" s="24"/>
      <c r="H152" s="24"/>
      <c r="I152" s="24"/>
      <c r="J152" s="24"/>
      <c r="K152" s="24"/>
      <c r="L152" s="31"/>
      <c r="M152" s="24"/>
      <c r="N152" s="5" t="str">
        <f t="shared" si="38"/>
        <v/>
      </c>
      <c r="O152" s="24"/>
      <c r="P152" s="5" t="str">
        <f t="shared" si="39"/>
        <v/>
      </c>
      <c r="Q152" s="24"/>
      <c r="R152" s="33"/>
      <c r="S152" s="24"/>
      <c r="T152" s="5" t="str">
        <f t="shared" si="40"/>
        <v/>
      </c>
      <c r="U152" s="37" t="s">
        <v>5261</v>
      </c>
      <c r="V152" s="5" t="str">
        <f t="shared" si="41"/>
        <v/>
      </c>
      <c r="W152" s="24"/>
      <c r="X152" s="24"/>
      <c r="AN152" t="str">
        <f t="shared" si="45"/>
        <v>Y</v>
      </c>
      <c r="AO152" t="s">
        <v>1164</v>
      </c>
    </row>
    <row r="153" spans="7:41" x14ac:dyDescent="0.4">
      <c r="G153" s="24"/>
      <c r="H153" s="24"/>
      <c r="I153" s="24"/>
      <c r="J153" s="24"/>
      <c r="K153" s="24"/>
      <c r="L153" s="31"/>
      <c r="M153" s="24"/>
      <c r="N153" s="5" t="str">
        <f t="shared" si="38"/>
        <v/>
      </c>
      <c r="O153" s="24"/>
      <c r="P153" s="5" t="str">
        <f t="shared" si="39"/>
        <v/>
      </c>
      <c r="Q153" s="24"/>
      <c r="R153" s="33"/>
      <c r="S153" s="24"/>
      <c r="T153" s="5" t="str">
        <f t="shared" si="40"/>
        <v/>
      </c>
      <c r="U153" s="37" t="s">
        <v>5262</v>
      </c>
      <c r="V153" s="5" t="str">
        <f t="shared" si="41"/>
        <v/>
      </c>
      <c r="W153" s="24"/>
      <c r="X153" s="24"/>
      <c r="AN153" t="str">
        <f t="shared" si="45"/>
        <v>Y</v>
      </c>
      <c r="AO153" t="s">
        <v>1165</v>
      </c>
    </row>
    <row r="154" spans="7:41" x14ac:dyDescent="0.4">
      <c r="G154" s="24"/>
      <c r="H154" s="24"/>
      <c r="I154" s="24"/>
      <c r="J154" s="24"/>
      <c r="K154" s="24"/>
      <c r="L154" s="31"/>
      <c r="M154" s="24"/>
      <c r="N154" s="5" t="str">
        <f t="shared" si="38"/>
        <v/>
      </c>
      <c r="O154" s="24"/>
      <c r="P154" s="5" t="str">
        <f t="shared" si="39"/>
        <v/>
      </c>
      <c r="Q154" s="24"/>
      <c r="R154" s="33"/>
      <c r="S154" s="24"/>
      <c r="T154" s="5" t="str">
        <f t="shared" si="40"/>
        <v/>
      </c>
      <c r="U154" s="37" t="s">
        <v>5263</v>
      </c>
      <c r="V154" s="5" t="str">
        <f t="shared" si="41"/>
        <v/>
      </c>
      <c r="W154" s="24"/>
      <c r="X154" s="24"/>
      <c r="AN154" t="str">
        <f t="shared" si="45"/>
        <v>Y</v>
      </c>
      <c r="AO154" t="s">
        <v>1166</v>
      </c>
    </row>
    <row r="155" spans="7:41" x14ac:dyDescent="0.4">
      <c r="G155" s="24"/>
      <c r="H155" s="24"/>
      <c r="I155" s="24"/>
      <c r="J155" s="24"/>
      <c r="K155" s="24"/>
      <c r="L155" s="24"/>
      <c r="M155" s="24"/>
      <c r="N155" s="5" t="str">
        <f t="shared" si="38"/>
        <v/>
      </c>
      <c r="O155" s="24"/>
      <c r="P155" s="5" t="str">
        <f t="shared" si="39"/>
        <v/>
      </c>
      <c r="Q155" s="24"/>
      <c r="R155" s="33"/>
      <c r="S155" s="24"/>
      <c r="T155" s="5" t="str">
        <f t="shared" si="40"/>
        <v/>
      </c>
      <c r="U155" s="24"/>
      <c r="V155" s="5" t="str">
        <f t="shared" si="41"/>
        <v/>
      </c>
      <c r="W155" s="24"/>
      <c r="X155" s="24"/>
    </row>
    <row r="156" spans="7:41" x14ac:dyDescent="0.4">
      <c r="G156" s="24"/>
      <c r="H156" s="24"/>
      <c r="I156" s="24"/>
      <c r="J156" s="24"/>
      <c r="K156" s="24"/>
      <c r="L156" s="24"/>
      <c r="M156" s="24"/>
      <c r="N156" s="5" t="str">
        <f t="shared" si="38"/>
        <v/>
      </c>
      <c r="O156" s="24"/>
      <c r="P156" s="5" t="str">
        <f t="shared" si="39"/>
        <v/>
      </c>
      <c r="Q156" s="24"/>
      <c r="R156" s="33"/>
      <c r="S156" s="24"/>
      <c r="T156" s="5" t="str">
        <f t="shared" si="40"/>
        <v/>
      </c>
      <c r="U156" s="24"/>
      <c r="V156" s="5" t="str">
        <f t="shared" si="41"/>
        <v/>
      </c>
      <c r="W156" s="24"/>
      <c r="X156" s="24"/>
    </row>
    <row r="157" spans="7:41" x14ac:dyDescent="0.4">
      <c r="G157" s="24"/>
      <c r="H157" s="24"/>
      <c r="I157" s="24"/>
      <c r="J157" s="24"/>
      <c r="K157" s="24"/>
      <c r="L157" s="24"/>
      <c r="M157" s="24"/>
      <c r="N157" s="5" t="str">
        <f t="shared" si="38"/>
        <v/>
      </c>
      <c r="O157" s="24"/>
      <c r="P157" s="5" t="str">
        <f t="shared" si="39"/>
        <v/>
      </c>
      <c r="Q157" s="24"/>
      <c r="R157" s="33"/>
      <c r="S157" s="24"/>
      <c r="T157" s="5" t="str">
        <f t="shared" si="40"/>
        <v/>
      </c>
      <c r="U157" s="24"/>
      <c r="V157" s="5" t="str">
        <f t="shared" si="41"/>
        <v/>
      </c>
      <c r="W157" s="24"/>
      <c r="X157" s="24"/>
    </row>
    <row r="158" spans="7:41" x14ac:dyDescent="0.4">
      <c r="G158" s="24"/>
      <c r="H158" s="24"/>
      <c r="I158" s="24"/>
      <c r="J158" s="24"/>
      <c r="K158" s="24"/>
      <c r="L158" s="24"/>
      <c r="M158" s="24"/>
      <c r="N158" s="27"/>
      <c r="O158" s="24"/>
      <c r="P158" s="5" t="str">
        <f t="shared" si="39"/>
        <v/>
      </c>
      <c r="Q158" s="24"/>
      <c r="R158" s="33"/>
      <c r="S158" s="24"/>
      <c r="T158" s="5" t="str">
        <f t="shared" si="40"/>
        <v/>
      </c>
      <c r="U158" s="24"/>
      <c r="V158" s="5" t="str">
        <f t="shared" si="41"/>
        <v/>
      </c>
      <c r="W158" s="24"/>
      <c r="X158" s="24"/>
    </row>
    <row r="159" spans="7:41" x14ac:dyDescent="0.4">
      <c r="G159" s="24"/>
      <c r="H159" s="24"/>
      <c r="I159" s="24"/>
      <c r="J159" s="24"/>
      <c r="K159" s="24"/>
      <c r="L159" s="24"/>
      <c r="M159" s="24"/>
      <c r="N159" s="27"/>
      <c r="O159" s="24"/>
      <c r="P159" s="5" t="str">
        <f t="shared" si="39"/>
        <v/>
      </c>
      <c r="Q159" s="24"/>
      <c r="R159" s="33"/>
      <c r="S159" s="24"/>
      <c r="T159" s="5" t="str">
        <f t="shared" si="40"/>
        <v/>
      </c>
      <c r="U159" s="24"/>
      <c r="V159" s="5" t="str">
        <f t="shared" si="41"/>
        <v/>
      </c>
      <c r="W159" s="24"/>
      <c r="X159" s="24"/>
    </row>
    <row r="160" spans="7:41" x14ac:dyDescent="0.4">
      <c r="G160" s="24"/>
      <c r="H160" s="24"/>
      <c r="I160" s="24"/>
      <c r="J160" s="24"/>
      <c r="K160" s="24"/>
      <c r="L160" s="24"/>
      <c r="M160" s="24"/>
      <c r="N160" s="27"/>
      <c r="O160" s="24"/>
      <c r="P160" s="5" t="str">
        <f t="shared" si="39"/>
        <v/>
      </c>
      <c r="Q160" s="24"/>
      <c r="R160" s="33"/>
      <c r="S160" s="24"/>
      <c r="T160" s="5" t="str">
        <f t="shared" si="40"/>
        <v/>
      </c>
      <c r="U160" s="24"/>
      <c r="V160" s="5" t="str">
        <f t="shared" si="41"/>
        <v/>
      </c>
      <c r="W160" s="24"/>
      <c r="X160" s="24"/>
    </row>
    <row r="161" spans="16:22" x14ac:dyDescent="0.4">
      <c r="P161" s="5" t="str">
        <f t="shared" si="39"/>
        <v/>
      </c>
      <c r="R161" s="32"/>
      <c r="V161" s="5" t="str">
        <f t="shared" si="41"/>
        <v/>
      </c>
    </row>
    <row r="162" spans="16:22" x14ac:dyDescent="0.4">
      <c r="P162" s="32"/>
      <c r="R162" s="32"/>
      <c r="V162" s="5" t="str">
        <f t="shared" si="41"/>
        <v/>
      </c>
    </row>
    <row r="163" spans="16:22" x14ac:dyDescent="0.4">
      <c r="P163" s="32"/>
      <c r="R163" s="32"/>
      <c r="V163" s="5" t="str">
        <f t="shared" si="41"/>
        <v/>
      </c>
    </row>
    <row r="164" spans="16:22" x14ac:dyDescent="0.4">
      <c r="P164" s="32"/>
      <c r="R164" s="32"/>
      <c r="V164" s="5" t="str">
        <f t="shared" si="41"/>
        <v/>
      </c>
    </row>
    <row r="165" spans="16:22" x14ac:dyDescent="0.4">
      <c r="P165" s="32"/>
      <c r="R165" s="32"/>
      <c r="V165" s="5" t="str">
        <f t="shared" si="41"/>
        <v/>
      </c>
    </row>
    <row r="166" spans="16:22" x14ac:dyDescent="0.4">
      <c r="P166" s="32"/>
      <c r="R166" s="32"/>
      <c r="V166" s="5" t="str">
        <f t="shared" si="41"/>
        <v/>
      </c>
    </row>
    <row r="167" spans="16:22" x14ac:dyDescent="0.4">
      <c r="P167" s="32"/>
      <c r="R167" s="32"/>
      <c r="V167" s="5" t="str">
        <f t="shared" si="41"/>
        <v/>
      </c>
    </row>
    <row r="168" spans="16:22" x14ac:dyDescent="0.4">
      <c r="P168" s="32"/>
      <c r="R168" s="32"/>
      <c r="V168" s="5" t="str">
        <f t="shared" si="41"/>
        <v/>
      </c>
    </row>
    <row r="169" spans="16:22" x14ac:dyDescent="0.4">
      <c r="P169" s="32"/>
      <c r="V169" s="5" t="str">
        <f t="shared" si="41"/>
        <v/>
      </c>
    </row>
    <row r="170" spans="16:22" x14ac:dyDescent="0.4">
      <c r="P170" s="32"/>
      <c r="V170" s="5" t="str">
        <f t="shared" si="41"/>
        <v/>
      </c>
    </row>
    <row r="171" spans="16:22" x14ac:dyDescent="0.4">
      <c r="P171" s="32"/>
      <c r="V171" s="5" t="str">
        <f t="shared" si="41"/>
        <v/>
      </c>
    </row>
    <row r="172" spans="16:22" x14ac:dyDescent="0.4">
      <c r="P172" s="32"/>
      <c r="V172" s="5" t="str">
        <f t="shared" si="41"/>
        <v/>
      </c>
    </row>
    <row r="173" spans="16:22" x14ac:dyDescent="0.4">
      <c r="P173" s="32"/>
      <c r="V173" s="5" t="str">
        <f t="shared" si="41"/>
        <v/>
      </c>
    </row>
    <row r="174" spans="16:22" x14ac:dyDescent="0.4">
      <c r="P174" s="32"/>
      <c r="V174" s="5" t="str">
        <f t="shared" si="41"/>
        <v/>
      </c>
    </row>
    <row r="175" spans="16:22" x14ac:dyDescent="0.4">
      <c r="P175" s="32"/>
      <c r="V175" s="5" t="str">
        <f t="shared" si="41"/>
        <v/>
      </c>
    </row>
    <row r="176" spans="16:22" x14ac:dyDescent="0.4">
      <c r="V176" s="5" t="str">
        <f t="shared" si="41"/>
        <v/>
      </c>
    </row>
    <row r="177" spans="22:22" x14ac:dyDescent="0.4">
      <c r="V177" s="5" t="str">
        <f t="shared" si="41"/>
        <v/>
      </c>
    </row>
    <row r="178" spans="22:22" x14ac:dyDescent="0.4">
      <c r="V178" s="5" t="str">
        <f t="shared" si="41"/>
        <v/>
      </c>
    </row>
    <row r="179" spans="22:22" x14ac:dyDescent="0.4">
      <c r="V179" s="5" t="str">
        <f t="shared" si="41"/>
        <v/>
      </c>
    </row>
    <row r="180" spans="22:22" x14ac:dyDescent="0.4">
      <c r="V180" s="5" t="str">
        <f t="shared" si="41"/>
        <v/>
      </c>
    </row>
    <row r="181" spans="22:22" x14ac:dyDescent="0.4">
      <c r="V181" s="5" t="str">
        <f t="shared" si="41"/>
        <v/>
      </c>
    </row>
    <row r="182" spans="22:22" x14ac:dyDescent="0.4">
      <c r="V182" s="5" t="str">
        <f t="shared" si="41"/>
        <v/>
      </c>
    </row>
    <row r="183" spans="22:22" x14ac:dyDescent="0.4">
      <c r="V183" s="5" t="str">
        <f t="shared" si="41"/>
        <v/>
      </c>
    </row>
    <row r="184" spans="22:22" x14ac:dyDescent="0.4">
      <c r="V184" s="5" t="str">
        <f t="shared" si="41"/>
        <v/>
      </c>
    </row>
    <row r="185" spans="22:22" x14ac:dyDescent="0.4">
      <c r="V185" s="5" t="str">
        <f t="shared" si="41"/>
        <v/>
      </c>
    </row>
  </sheetData>
  <sheetProtection selectLockedCells="1"/>
  <mergeCells count="22">
    <mergeCell ref="Z1:AA1"/>
    <mergeCell ref="G1:H1"/>
    <mergeCell ref="I1:J1"/>
    <mergeCell ref="K1:L1"/>
    <mergeCell ref="M1:N1"/>
    <mergeCell ref="O1:P1"/>
    <mergeCell ref="AL1:AM1"/>
    <mergeCell ref="AN1:AO1"/>
    <mergeCell ref="AP1:AQ1"/>
    <mergeCell ref="E3:F3"/>
    <mergeCell ref="A39:D39"/>
    <mergeCell ref="A2:D3"/>
    <mergeCell ref="A26:D33"/>
    <mergeCell ref="AB1:AC1"/>
    <mergeCell ref="AD1:AE1"/>
    <mergeCell ref="AF1:AG1"/>
    <mergeCell ref="AH1:AI1"/>
    <mergeCell ref="AJ1:AK1"/>
    <mergeCell ref="Q1:R1"/>
    <mergeCell ref="S1:T1"/>
    <mergeCell ref="U1:V1"/>
    <mergeCell ref="W1:X1"/>
  </mergeCells>
  <phoneticPr fontId="1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9" r:id="rId3" name="C">
          <controlPr defaultSize="0" altText="" r:id="rId4">
            <anchor moveWithCells="1">
              <from>
                <xdr:col>0</xdr:col>
                <xdr:colOff>0</xdr:colOff>
                <xdr:row>14</xdr:row>
                <xdr:rowOff>166688</xdr:rowOff>
              </from>
              <to>
                <xdr:col>1</xdr:col>
                <xdr:colOff>95250</xdr:colOff>
                <xdr:row>16</xdr:row>
                <xdr:rowOff>171450</xdr:rowOff>
              </to>
            </anchor>
          </controlPr>
        </control>
      </mc:Choice>
      <mc:Fallback>
        <control shapeId="1029" r:id="rId3" name="C"/>
      </mc:Fallback>
    </mc:AlternateContent>
    <mc:AlternateContent xmlns:mc="http://schemas.openxmlformats.org/markup-compatibility/2006">
      <mc:Choice Requires="x14">
        <control shapeId="1030" r:id="rId5" name="CommandButton1">
          <controlPr defaultSize="0" altText="" r:id="rId6">
            <anchor moveWithCells="1">
              <from>
                <xdr:col>1</xdr:col>
                <xdr:colOff>228600</xdr:colOff>
                <xdr:row>14</xdr:row>
                <xdr:rowOff>171450</xdr:rowOff>
              </from>
              <to>
                <xdr:col>2</xdr:col>
                <xdr:colOff>385763</xdr:colOff>
                <xdr:row>17</xdr:row>
                <xdr:rowOff>0</xdr:rowOff>
              </to>
            </anchor>
          </controlPr>
        </control>
      </mc:Choice>
      <mc:Fallback>
        <control shapeId="1030" r:id="rId5" name="CommandButton1"/>
      </mc:Fallback>
    </mc:AlternateContent>
    <mc:AlternateContent xmlns:mc="http://schemas.openxmlformats.org/markup-compatibility/2006">
      <mc:Choice Requires="x14">
        <control shapeId="1031" r:id="rId7" name="CommandButton2">
          <controlPr defaultSize="0" altText="" r:id="rId8">
            <anchor moveWithCells="1">
              <from>
                <xdr:col>2</xdr:col>
                <xdr:colOff>590550</xdr:colOff>
                <xdr:row>14</xdr:row>
                <xdr:rowOff>171450</xdr:rowOff>
              </from>
              <to>
                <xdr:col>3</xdr:col>
                <xdr:colOff>1119188</xdr:colOff>
                <xdr:row>17</xdr:row>
                <xdr:rowOff>0</xdr:rowOff>
              </to>
            </anchor>
          </controlPr>
        </control>
      </mc:Choice>
      <mc:Fallback>
        <control shapeId="1031" r:id="rId7" name="CommandButton2"/>
      </mc:Fallback>
    </mc:AlternateContent>
    <mc:AlternateContent xmlns:mc="http://schemas.openxmlformats.org/markup-compatibility/2006">
      <mc:Choice Requires="x14">
        <control shapeId="1032" r:id="rId9" name="CommandButton3">
          <controlPr defaultSize="0" altText="" r:id="rId10">
            <anchor moveWithCells="1">
              <from>
                <xdr:col>0</xdr:col>
                <xdr:colOff>0</xdr:colOff>
                <xdr:row>17</xdr:row>
                <xdr:rowOff>166688</xdr:rowOff>
              </from>
              <to>
                <xdr:col>1</xdr:col>
                <xdr:colOff>95250</xdr:colOff>
                <xdr:row>19</xdr:row>
                <xdr:rowOff>171450</xdr:rowOff>
              </to>
            </anchor>
          </controlPr>
        </control>
      </mc:Choice>
      <mc:Fallback>
        <control shapeId="1032" r:id="rId9" name="CommandButton3"/>
      </mc:Fallback>
    </mc:AlternateContent>
    <mc:AlternateContent xmlns:mc="http://schemas.openxmlformats.org/markup-compatibility/2006">
      <mc:Choice Requires="x14">
        <control shapeId="1033" r:id="rId11" name="CommandButton4">
          <controlPr defaultSize="0" altText="" r:id="rId12">
            <anchor moveWithCells="1">
              <from>
                <xdr:col>1</xdr:col>
                <xdr:colOff>247650</xdr:colOff>
                <xdr:row>18</xdr:row>
                <xdr:rowOff>0</xdr:rowOff>
              </from>
              <to>
                <xdr:col>2</xdr:col>
                <xdr:colOff>404813</xdr:colOff>
                <xdr:row>20</xdr:row>
                <xdr:rowOff>4763</xdr:rowOff>
              </to>
            </anchor>
          </controlPr>
        </control>
      </mc:Choice>
      <mc:Fallback>
        <control shapeId="1033" r:id="rId11" name="CommandButton4"/>
      </mc:Fallback>
    </mc:AlternateContent>
    <mc:AlternateContent xmlns:mc="http://schemas.openxmlformats.org/markup-compatibility/2006">
      <mc:Choice Requires="x14">
        <control shapeId="1034" r:id="rId13" name="CommandButton5">
          <controlPr defaultSize="0" altText="" r:id="rId14">
            <anchor moveWithCells="1">
              <from>
                <xdr:col>2</xdr:col>
                <xdr:colOff>590550</xdr:colOff>
                <xdr:row>17</xdr:row>
                <xdr:rowOff>161925</xdr:rowOff>
              </from>
              <to>
                <xdr:col>3</xdr:col>
                <xdr:colOff>1119188</xdr:colOff>
                <xdr:row>19</xdr:row>
                <xdr:rowOff>166688</xdr:rowOff>
              </to>
            </anchor>
          </controlPr>
        </control>
      </mc:Choice>
      <mc:Fallback>
        <control shapeId="1034" r:id="rId13" name="CommandButton5"/>
      </mc:Fallback>
    </mc:AlternateContent>
    <mc:AlternateContent xmlns:mc="http://schemas.openxmlformats.org/markup-compatibility/2006">
      <mc:Choice Requires="x14">
        <control shapeId="1035" r:id="rId15" name="CommandButton6">
          <controlPr defaultSize="0" altText="" r:id="rId16">
            <anchor moveWithCells="1">
              <from>
                <xdr:col>0</xdr:col>
                <xdr:colOff>0</xdr:colOff>
                <xdr:row>20</xdr:row>
                <xdr:rowOff>171450</xdr:rowOff>
              </from>
              <to>
                <xdr:col>1</xdr:col>
                <xdr:colOff>95250</xdr:colOff>
                <xdr:row>23</xdr:row>
                <xdr:rowOff>0</xdr:rowOff>
              </to>
            </anchor>
          </controlPr>
        </control>
      </mc:Choice>
      <mc:Fallback>
        <control shapeId="1035" r:id="rId15" name="CommandButton6"/>
      </mc:Fallback>
    </mc:AlternateContent>
    <mc:AlternateContent xmlns:mc="http://schemas.openxmlformats.org/markup-compatibility/2006">
      <mc:Choice Requires="x14">
        <control shapeId="1036" r:id="rId17" name="CommandButton7">
          <controlPr defaultSize="0" altText="" r:id="rId18">
            <anchor moveWithCells="1">
              <from>
                <xdr:col>1</xdr:col>
                <xdr:colOff>276225</xdr:colOff>
                <xdr:row>20</xdr:row>
                <xdr:rowOff>171450</xdr:rowOff>
              </from>
              <to>
                <xdr:col>2</xdr:col>
                <xdr:colOff>433388</xdr:colOff>
                <xdr:row>23</xdr:row>
                <xdr:rowOff>0</xdr:rowOff>
              </to>
            </anchor>
          </controlPr>
        </control>
      </mc:Choice>
      <mc:Fallback>
        <control shapeId="1036" r:id="rId17" name="CommandButton7"/>
      </mc:Fallback>
    </mc:AlternateContent>
    <mc:AlternateContent xmlns:mc="http://schemas.openxmlformats.org/markup-compatibility/2006">
      <mc:Choice Requires="x14">
        <control shapeId="1037" r:id="rId19" name="CommandButton8">
          <controlPr defaultSize="0" altText="" r:id="rId20">
            <anchor moveWithCells="1">
              <from>
                <xdr:col>2</xdr:col>
                <xdr:colOff>590550</xdr:colOff>
                <xdr:row>20</xdr:row>
                <xdr:rowOff>157163</xdr:rowOff>
              </from>
              <to>
                <xdr:col>3</xdr:col>
                <xdr:colOff>1119188</xdr:colOff>
                <xdr:row>22</xdr:row>
                <xdr:rowOff>161925</xdr:rowOff>
              </to>
            </anchor>
          </controlPr>
        </control>
      </mc:Choice>
      <mc:Fallback>
        <control shapeId="1037" r:id="rId19" name="CommandButton8"/>
      </mc:Fallback>
    </mc:AlternateContent>
    <mc:AlternateContent xmlns:mc="http://schemas.openxmlformats.org/markup-compatibility/2006">
      <mc:Choice Requires="x14">
        <control shapeId="1039" r:id="rId21" name="CommandButton10">
          <controlPr defaultSize="0" altText="" r:id="rId22">
            <anchor moveWithCells="1">
              <from>
                <xdr:col>4</xdr:col>
                <xdr:colOff>242888</xdr:colOff>
                <xdr:row>14</xdr:row>
                <xdr:rowOff>161925</xdr:rowOff>
              </from>
              <to>
                <xdr:col>5</xdr:col>
                <xdr:colOff>747713</xdr:colOff>
                <xdr:row>16</xdr:row>
                <xdr:rowOff>166688</xdr:rowOff>
              </to>
            </anchor>
          </controlPr>
        </control>
      </mc:Choice>
      <mc:Fallback>
        <control shapeId="1039" r:id="rId21" name="CommandButton10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P160"/>
  <sheetViews>
    <sheetView zoomScale="120" zoomScaleNormal="120" workbookViewId="0">
      <selection activeCell="O19" sqref="O19"/>
    </sheetView>
  </sheetViews>
  <sheetFormatPr defaultColWidth="8.86328125" defaultRowHeight="13.9" x14ac:dyDescent="0.4"/>
  <cols>
    <col min="1" max="1" width="15.06640625" customWidth="1"/>
    <col min="2" max="2" width="14.19921875" customWidth="1"/>
    <col min="3" max="3" width="9" customWidth="1"/>
    <col min="4" max="4" width="16" customWidth="1"/>
    <col min="5" max="5" width="9.33203125" customWidth="1"/>
    <col min="7" max="7" width="14.9296875" customWidth="1"/>
    <col min="8" max="8" width="21.33203125" customWidth="1"/>
    <col min="9" max="9" width="13.796875" customWidth="1"/>
    <col min="10" max="10" width="21" customWidth="1"/>
    <col min="11" max="11" width="13.33203125" customWidth="1"/>
    <col min="12" max="12" width="17.59765625" customWidth="1"/>
    <col min="13" max="13" width="14.1328125" style="6" customWidth="1"/>
    <col min="14" max="14" width="16.73046875" style="6" customWidth="1"/>
    <col min="15" max="15" width="12.33203125" customWidth="1"/>
    <col min="19" max="19" width="10.6640625" customWidth="1"/>
    <col min="21" max="21" width="14.19921875" customWidth="1"/>
    <col min="94" max="94" width="9.19921875"/>
  </cols>
  <sheetData>
    <row r="1" spans="1:94" x14ac:dyDescent="0.4">
      <c r="A1" s="7"/>
      <c r="B1" s="7"/>
      <c r="C1" s="7"/>
      <c r="D1" s="7"/>
      <c r="E1" s="7"/>
      <c r="F1" s="7"/>
      <c r="G1" s="55" t="s">
        <v>1167</v>
      </c>
      <c r="H1" s="55"/>
      <c r="I1" s="55" t="s">
        <v>1168</v>
      </c>
      <c r="J1" s="55"/>
      <c r="K1" s="55" t="s">
        <v>1169</v>
      </c>
      <c r="L1" s="55"/>
      <c r="M1" s="55" t="s">
        <v>1170</v>
      </c>
      <c r="N1" s="55"/>
      <c r="P1" s="56" t="s">
        <v>1171</v>
      </c>
      <c r="Q1" s="56"/>
      <c r="R1" s="56" t="s">
        <v>1172</v>
      </c>
      <c r="S1" s="56"/>
      <c r="T1" s="56" t="s">
        <v>1173</v>
      </c>
      <c r="U1" s="56"/>
      <c r="V1" s="56" t="s">
        <v>1174</v>
      </c>
      <c r="W1" s="56"/>
    </row>
    <row r="2" spans="1:94" x14ac:dyDescent="0.4">
      <c r="A2" s="51" t="s">
        <v>18</v>
      </c>
      <c r="B2" s="48"/>
      <c r="C2" s="48"/>
      <c r="D2" s="48"/>
      <c r="E2" s="8"/>
      <c r="F2" s="7"/>
      <c r="G2" s="9" t="s">
        <v>19</v>
      </c>
      <c r="H2" s="9" t="s">
        <v>20</v>
      </c>
      <c r="I2" s="9" t="s">
        <v>19</v>
      </c>
      <c r="J2" s="9" t="s">
        <v>20</v>
      </c>
      <c r="K2" s="9" t="s">
        <v>19</v>
      </c>
      <c r="L2" s="9" t="s">
        <v>20</v>
      </c>
      <c r="M2" s="9" t="s">
        <v>19</v>
      </c>
      <c r="N2" s="9" t="s">
        <v>20</v>
      </c>
      <c r="O2" s="24"/>
      <c r="P2" s="25" t="s">
        <v>21</v>
      </c>
      <c r="Q2" s="25" t="s">
        <v>22</v>
      </c>
      <c r="R2" s="25" t="s">
        <v>21</v>
      </c>
      <c r="S2" s="25" t="s">
        <v>22</v>
      </c>
      <c r="T2" s="25" t="s">
        <v>21</v>
      </c>
      <c r="U2" s="25" t="s">
        <v>22</v>
      </c>
      <c r="V2" s="25" t="s">
        <v>21</v>
      </c>
      <c r="W2" s="25" t="s">
        <v>22</v>
      </c>
      <c r="CP2" t="e">
        <f>VLOOKUP(1,#REF!,2,FALSE)</f>
        <v>#REF!</v>
      </c>
    </row>
    <row r="3" spans="1:94" x14ac:dyDescent="0.4">
      <c r="A3" s="48"/>
      <c r="B3" s="48"/>
      <c r="C3" s="48"/>
      <c r="D3" s="48"/>
      <c r="E3" s="8"/>
      <c r="F3" s="8"/>
      <c r="G3" s="10" t="s">
        <v>1175</v>
      </c>
      <c r="H3" s="5" t="str">
        <f t="shared" ref="H3:L18" si="0">IF(IF(EXACT(Q3,G3)=TRUE,"Y","N")="Y","",VLOOKUP(IF(EXACT(Q3,G3)=TRUE,"Y","N"),P3:Q3,2,FALSE))</f>
        <v/>
      </c>
      <c r="I3" s="26" t="s">
        <v>1176</v>
      </c>
      <c r="J3" s="5" t="str">
        <f t="shared" si="0"/>
        <v/>
      </c>
      <c r="K3" s="10" t="s">
        <v>1177</v>
      </c>
      <c r="L3" s="5" t="str">
        <f t="shared" si="0"/>
        <v/>
      </c>
      <c r="M3" s="10" t="s">
        <v>1178</v>
      </c>
      <c r="N3" s="5" t="str">
        <f>IF(IF(EXACT(W3,M3)=TRUE,"Y","N")="Y","",VLOOKUP(IF(EXACT(W3,M3)=TRUE,"Y","N"),V3:W3,2,FALSE))</f>
        <v/>
      </c>
      <c r="O3" s="24"/>
      <c r="P3" s="6" t="str">
        <f t="shared" ref="P3:T3" si="1">IF(EXACT(Q3,G3)=TRUE,"Y","N")</f>
        <v>Y</v>
      </c>
      <c r="Q3" s="6" t="s">
        <v>1175</v>
      </c>
      <c r="R3" t="str">
        <f t="shared" si="1"/>
        <v>Y</v>
      </c>
      <c r="S3" t="s">
        <v>1176</v>
      </c>
      <c r="T3" t="str">
        <f t="shared" si="1"/>
        <v>Y</v>
      </c>
      <c r="U3" s="6" t="s">
        <v>1177</v>
      </c>
      <c r="V3" s="6" t="str">
        <f>IF(EXACT(W3,M3)=TRUE,"Y","N")</f>
        <v>Y</v>
      </c>
      <c r="W3" s="6" t="s">
        <v>1178</v>
      </c>
    </row>
    <row r="4" spans="1:94" x14ac:dyDescent="0.4">
      <c r="A4" s="2" t="s">
        <v>33</v>
      </c>
      <c r="B4" s="3" t="s">
        <v>34</v>
      </c>
      <c r="C4" s="3" t="s">
        <v>35</v>
      </c>
      <c r="D4" s="4" t="s">
        <v>36</v>
      </c>
      <c r="E4" s="8"/>
      <c r="F4" s="7"/>
      <c r="G4" s="44" t="s">
        <v>5410</v>
      </c>
      <c r="H4" s="5" t="str">
        <f t="shared" si="0"/>
        <v/>
      </c>
      <c r="I4" s="37" t="s">
        <v>5511</v>
      </c>
      <c r="J4" s="5" t="str">
        <f t="shared" si="0"/>
        <v/>
      </c>
      <c r="K4" s="37" t="s">
        <v>5613</v>
      </c>
      <c r="L4" s="5" t="str">
        <f t="shared" si="0"/>
        <v/>
      </c>
      <c r="M4" s="45" t="s">
        <v>5732</v>
      </c>
      <c r="N4" s="5" t="str">
        <f t="shared" ref="N4:N67" si="2">IF(IF(EXACT(W4,M4)=TRUE,"Y","N")="Y","",VLOOKUP(IF(EXACT(W4,M4)=TRUE,"Y","N"),V4:W4,2,FALSE))</f>
        <v/>
      </c>
      <c r="P4" s="6" t="str">
        <f t="shared" ref="P4:T4" si="3">IF(EXACT(Q4,G4)=TRUE,"Y","N")</f>
        <v>Y</v>
      </c>
      <c r="Q4" s="6" t="s">
        <v>1179</v>
      </c>
      <c r="R4" t="str">
        <f t="shared" si="3"/>
        <v>Y</v>
      </c>
      <c r="S4" t="s">
        <v>1180</v>
      </c>
      <c r="T4" t="str">
        <f t="shared" si="3"/>
        <v>Y</v>
      </c>
      <c r="U4" s="6" t="s">
        <v>1181</v>
      </c>
      <c r="V4" s="6" t="str">
        <f>IF(EXACT(W4,M4)=TRUE,"Y","N")</f>
        <v>Y</v>
      </c>
      <c r="W4" s="6" t="s">
        <v>1182</v>
      </c>
    </row>
    <row r="5" spans="1:94" x14ac:dyDescent="0.4">
      <c r="A5" s="11" t="s">
        <v>46</v>
      </c>
      <c r="B5" s="12">
        <f>COUNTA(Q3:Q114)</f>
        <v>104</v>
      </c>
      <c r="C5" s="12">
        <f>COUNTBLANK(H3:H106)</f>
        <v>78</v>
      </c>
      <c r="D5" s="13">
        <f>C5/B5</f>
        <v>0.75</v>
      </c>
      <c r="E5" s="8"/>
      <c r="F5" s="7"/>
      <c r="G5" s="43" t="s">
        <v>5411</v>
      </c>
      <c r="H5" s="5" t="str">
        <f t="shared" si="0"/>
        <v/>
      </c>
      <c r="I5" s="37" t="s">
        <v>5512</v>
      </c>
      <c r="J5" s="5" t="str">
        <f t="shared" si="0"/>
        <v/>
      </c>
      <c r="K5" s="37" t="s">
        <v>5614</v>
      </c>
      <c r="L5" s="5" t="str">
        <f t="shared" si="0"/>
        <v/>
      </c>
      <c r="M5" s="45" t="s">
        <v>5733</v>
      </c>
      <c r="N5" s="5" t="str">
        <f t="shared" si="2"/>
        <v/>
      </c>
      <c r="P5" s="6" t="str">
        <f t="shared" ref="P5:T5" si="4">IF(EXACT(Q5,G5)=TRUE,"Y","N")</f>
        <v>Y</v>
      </c>
      <c r="Q5" s="6" t="s">
        <v>1183</v>
      </c>
      <c r="R5" t="str">
        <f t="shared" si="4"/>
        <v>Y</v>
      </c>
      <c r="S5" t="s">
        <v>1184</v>
      </c>
      <c r="T5" t="str">
        <f t="shared" si="4"/>
        <v>Y</v>
      </c>
      <c r="U5" s="6" t="s">
        <v>1185</v>
      </c>
      <c r="V5" s="6" t="str">
        <f>IF(EXACT(W5,M5)=TRUE,"Y","N")</f>
        <v>Y</v>
      </c>
      <c r="W5" s="6" t="s">
        <v>1186</v>
      </c>
    </row>
    <row r="6" spans="1:94" x14ac:dyDescent="0.4">
      <c r="A6" s="14" t="s">
        <v>56</v>
      </c>
      <c r="B6" s="15">
        <f>COUNTA(S3:S144)</f>
        <v>104</v>
      </c>
      <c r="C6" s="15">
        <f>COUNTBLANK(J3:J106)</f>
        <v>78</v>
      </c>
      <c r="D6" s="16">
        <f>C6/B6</f>
        <v>0.75</v>
      </c>
      <c r="E6" s="8"/>
      <c r="F6" s="7"/>
      <c r="G6" s="43" t="s">
        <v>5412</v>
      </c>
      <c r="H6" s="5" t="str">
        <f t="shared" si="0"/>
        <v/>
      </c>
      <c r="I6" s="37" t="s">
        <v>5513</v>
      </c>
      <c r="J6" s="5" t="str">
        <f t="shared" si="0"/>
        <v/>
      </c>
      <c r="K6" s="37" t="s">
        <v>5615</v>
      </c>
      <c r="L6" s="5" t="str">
        <f t="shared" si="0"/>
        <v/>
      </c>
      <c r="M6" s="45" t="s">
        <v>5734</v>
      </c>
      <c r="N6" s="5" t="str">
        <f t="shared" si="2"/>
        <v>effectively</v>
      </c>
      <c r="P6" s="6" t="str">
        <f t="shared" ref="P6:P69" si="5">IF(EXACT(Q6,W6)=TRUE,"Y","N")</f>
        <v>N</v>
      </c>
      <c r="Q6" s="6" t="s">
        <v>1187</v>
      </c>
      <c r="R6" t="str">
        <f t="shared" ref="R6:V6" si="6">IF(EXACT(S6,I6)=TRUE,"Y","N")</f>
        <v>Y</v>
      </c>
      <c r="S6" t="s">
        <v>1188</v>
      </c>
      <c r="T6" t="str">
        <f t="shared" si="6"/>
        <v>Y</v>
      </c>
      <c r="U6" s="6" t="s">
        <v>1189</v>
      </c>
      <c r="V6" s="6" t="str">
        <f t="shared" si="6"/>
        <v>N</v>
      </c>
      <c r="W6" s="6" t="s">
        <v>1190</v>
      </c>
    </row>
    <row r="7" spans="1:94" x14ac:dyDescent="0.4">
      <c r="A7" s="17" t="s">
        <v>66</v>
      </c>
      <c r="B7" s="18">
        <f>COUNTA(U3:U128)</f>
        <v>126</v>
      </c>
      <c r="C7" s="18">
        <f>COUNTBLANK(L3:L128)</f>
        <v>91</v>
      </c>
      <c r="D7" s="19">
        <f>C7/B7</f>
        <v>0.72222222222222221</v>
      </c>
      <c r="E7" s="8"/>
      <c r="F7" s="7"/>
      <c r="G7" s="43" t="s">
        <v>5413</v>
      </c>
      <c r="H7" s="5" t="str">
        <f t="shared" si="0"/>
        <v>accurate</v>
      </c>
      <c r="I7" s="37" t="s">
        <v>5514</v>
      </c>
      <c r="J7" s="5" t="str">
        <f t="shared" si="0"/>
        <v/>
      </c>
      <c r="K7" s="37" t="s">
        <v>5616</v>
      </c>
      <c r="L7" s="5" t="str">
        <f t="shared" si="0"/>
        <v/>
      </c>
      <c r="M7" s="45" t="s">
        <v>5735</v>
      </c>
      <c r="N7" s="5" t="str">
        <f t="shared" si="2"/>
        <v/>
      </c>
      <c r="P7" s="6" t="str">
        <f t="shared" si="5"/>
        <v>N</v>
      </c>
      <c r="Q7" s="6" t="s">
        <v>1191</v>
      </c>
      <c r="R7" t="str">
        <f t="shared" ref="R7:V7" si="7">IF(EXACT(S7,I7)=TRUE,"Y","N")</f>
        <v>Y</v>
      </c>
      <c r="S7" t="s">
        <v>1192</v>
      </c>
      <c r="T7" t="str">
        <f t="shared" si="7"/>
        <v>Y</v>
      </c>
      <c r="U7" s="6" t="s">
        <v>1193</v>
      </c>
      <c r="V7" s="6" t="str">
        <f t="shared" si="7"/>
        <v>Y</v>
      </c>
      <c r="W7" s="6" t="s">
        <v>1194</v>
      </c>
    </row>
    <row r="8" spans="1:94" x14ac:dyDescent="0.4">
      <c r="A8" s="14" t="s">
        <v>76</v>
      </c>
      <c r="B8" s="15">
        <f>COUNTA(W3:W114)</f>
        <v>12</v>
      </c>
      <c r="C8" s="15">
        <f>COUNTBLANK(N3:N14)</f>
        <v>8</v>
      </c>
      <c r="D8" s="16">
        <f>C8/B8</f>
        <v>0.66666666666666663</v>
      </c>
      <c r="E8" s="8"/>
      <c r="F8" s="7"/>
      <c r="G8" s="43" t="s">
        <v>5414</v>
      </c>
      <c r="H8" s="5" t="str">
        <f t="shared" si="0"/>
        <v/>
      </c>
      <c r="I8" s="37" t="s">
        <v>5515</v>
      </c>
      <c r="J8" s="5" t="str">
        <f t="shared" si="0"/>
        <v>favourite</v>
      </c>
      <c r="K8" s="37" t="s">
        <v>5728</v>
      </c>
      <c r="L8" s="5" t="str">
        <f t="shared" si="0"/>
        <v>precious</v>
      </c>
      <c r="M8" s="45" t="s">
        <v>5736</v>
      </c>
      <c r="N8" s="5" t="str">
        <f t="shared" si="2"/>
        <v>originally</v>
      </c>
      <c r="P8" s="6" t="str">
        <f t="shared" si="5"/>
        <v>N</v>
      </c>
      <c r="Q8" s="6" t="s">
        <v>1195</v>
      </c>
      <c r="R8" t="str">
        <f t="shared" ref="R8:V8" si="8">IF(EXACT(S8,I8)=TRUE,"Y","N")</f>
        <v>N</v>
      </c>
      <c r="S8" t="s">
        <v>1196</v>
      </c>
      <c r="T8" t="str">
        <f t="shared" si="8"/>
        <v>N</v>
      </c>
      <c r="U8" s="6" t="s">
        <v>1197</v>
      </c>
      <c r="V8" s="6" t="str">
        <f t="shared" si="8"/>
        <v>N</v>
      </c>
      <c r="W8" s="6" t="s">
        <v>1198</v>
      </c>
    </row>
    <row r="9" spans="1:94" x14ac:dyDescent="0.4">
      <c r="A9" s="20" t="s">
        <v>136</v>
      </c>
      <c r="B9" s="21">
        <f>SUM(B5:B8)</f>
        <v>346</v>
      </c>
      <c r="C9" s="21">
        <f>SUM(C5:C8)</f>
        <v>255</v>
      </c>
      <c r="D9" s="22">
        <f>C9/B9</f>
        <v>0.73699421965317924</v>
      </c>
      <c r="E9" s="8"/>
      <c r="F9" s="7"/>
      <c r="G9" s="43" t="s">
        <v>5415</v>
      </c>
      <c r="H9" s="5" t="str">
        <f t="shared" si="0"/>
        <v/>
      </c>
      <c r="I9" s="37" t="s">
        <v>5516</v>
      </c>
      <c r="J9" s="5" t="str">
        <f t="shared" si="0"/>
        <v/>
      </c>
      <c r="K9" s="37" t="s">
        <v>5617</v>
      </c>
      <c r="L9" s="5" t="str">
        <f t="shared" si="0"/>
        <v>predictable</v>
      </c>
      <c r="M9" s="45" t="s">
        <v>5737</v>
      </c>
      <c r="N9" s="5" t="str">
        <f t="shared" si="2"/>
        <v>physically</v>
      </c>
      <c r="P9" s="6" t="str">
        <f t="shared" si="5"/>
        <v>N</v>
      </c>
      <c r="Q9" s="6" t="s">
        <v>1199</v>
      </c>
      <c r="R9" t="str">
        <f t="shared" ref="R9:V9" si="9">IF(EXACT(S9,I9)=TRUE,"Y","N")</f>
        <v>Y</v>
      </c>
      <c r="S9" t="s">
        <v>1200</v>
      </c>
      <c r="T9" t="str">
        <f t="shared" si="9"/>
        <v>N</v>
      </c>
      <c r="U9" s="6" t="s">
        <v>1201</v>
      </c>
      <c r="V9" s="6" t="str">
        <f t="shared" si="9"/>
        <v>N</v>
      </c>
      <c r="W9" s="6" t="s">
        <v>1202</v>
      </c>
    </row>
    <row r="10" spans="1:94" x14ac:dyDescent="0.4">
      <c r="A10" s="7"/>
      <c r="B10" s="7"/>
      <c r="C10" s="7"/>
      <c r="D10" s="7"/>
      <c r="E10" s="8"/>
      <c r="F10" s="7"/>
      <c r="G10" s="43" t="s">
        <v>5416</v>
      </c>
      <c r="H10" s="5" t="str">
        <f t="shared" si="0"/>
        <v/>
      </c>
      <c r="I10" s="37" t="s">
        <v>5517</v>
      </c>
      <c r="J10" s="5" t="str">
        <f t="shared" si="0"/>
        <v/>
      </c>
      <c r="K10" s="37" t="s">
        <v>5618</v>
      </c>
      <c r="L10" s="5" t="str">
        <f t="shared" si="0"/>
        <v/>
      </c>
      <c r="M10" s="45" t="s">
        <v>5741</v>
      </c>
      <c r="N10" s="5" t="str">
        <f t="shared" si="2"/>
        <v/>
      </c>
      <c r="P10" s="6" t="str">
        <f t="shared" si="5"/>
        <v>N</v>
      </c>
      <c r="Q10" s="6" t="s">
        <v>1203</v>
      </c>
      <c r="R10" t="str">
        <f t="shared" ref="R10:V10" si="10">IF(EXACT(S10,I10)=TRUE,"Y","N")</f>
        <v>Y</v>
      </c>
      <c r="S10" t="s">
        <v>1204</v>
      </c>
      <c r="T10" t="str">
        <f t="shared" si="10"/>
        <v>Y</v>
      </c>
      <c r="U10" s="6" t="s">
        <v>1205</v>
      </c>
      <c r="V10" s="6" t="str">
        <f t="shared" si="10"/>
        <v>Y</v>
      </c>
      <c r="W10" s="6" t="s">
        <v>1206</v>
      </c>
    </row>
    <row r="11" spans="1:94" x14ac:dyDescent="0.4">
      <c r="A11" s="7"/>
      <c r="B11" s="7"/>
      <c r="C11" s="7"/>
      <c r="D11" s="7"/>
      <c r="E11" s="8"/>
      <c r="F11" s="23"/>
      <c r="G11" s="43" t="s">
        <v>5417</v>
      </c>
      <c r="H11" s="5" t="str">
        <f t="shared" si="0"/>
        <v>advisable</v>
      </c>
      <c r="I11" s="37" t="s">
        <v>5518</v>
      </c>
      <c r="J11" s="5" t="str">
        <f t="shared" si="0"/>
        <v/>
      </c>
      <c r="K11" s="37" t="s">
        <v>5619</v>
      </c>
      <c r="L11" s="5" t="str">
        <f t="shared" si="0"/>
        <v/>
      </c>
      <c r="M11" s="45" t="s">
        <v>5738</v>
      </c>
      <c r="N11" s="5" t="str">
        <f t="shared" si="2"/>
        <v/>
      </c>
      <c r="P11" s="6" t="str">
        <f t="shared" si="5"/>
        <v>N</v>
      </c>
      <c r="Q11" s="6" t="s">
        <v>1207</v>
      </c>
      <c r="R11" t="str">
        <f t="shared" ref="R11:V11" si="11">IF(EXACT(S11,I11)=TRUE,"Y","N")</f>
        <v>Y</v>
      </c>
      <c r="S11" t="s">
        <v>1208</v>
      </c>
      <c r="T11" t="str">
        <f t="shared" si="11"/>
        <v>Y</v>
      </c>
      <c r="U11" s="6" t="s">
        <v>1209</v>
      </c>
      <c r="V11" s="6" t="str">
        <f t="shared" si="11"/>
        <v>Y</v>
      </c>
      <c r="W11" s="6" t="s">
        <v>1210</v>
      </c>
    </row>
    <row r="12" spans="1:94" x14ac:dyDescent="0.4">
      <c r="A12" s="7"/>
      <c r="B12" s="7"/>
      <c r="C12" s="7"/>
      <c r="D12" s="7"/>
      <c r="E12" s="8"/>
      <c r="F12" s="7"/>
      <c r="G12" s="43" t="s">
        <v>5418</v>
      </c>
      <c r="H12" s="5" t="str">
        <f t="shared" si="0"/>
        <v/>
      </c>
      <c r="I12" s="37" t="s">
        <v>5519</v>
      </c>
      <c r="J12" s="5" t="str">
        <f t="shared" si="0"/>
        <v/>
      </c>
      <c r="K12" s="37" t="s">
        <v>5620</v>
      </c>
      <c r="L12" s="5" t="str">
        <f t="shared" si="0"/>
        <v/>
      </c>
      <c r="M12" s="45" t="s">
        <v>5739</v>
      </c>
      <c r="N12" s="5" t="str">
        <f t="shared" si="2"/>
        <v/>
      </c>
      <c r="P12" s="6" t="str">
        <f t="shared" si="5"/>
        <v>N</v>
      </c>
      <c r="Q12" s="6" t="s">
        <v>1211</v>
      </c>
      <c r="R12" t="str">
        <f t="shared" ref="R12:V12" si="12">IF(EXACT(S12,I12)=TRUE,"Y","N")</f>
        <v>Y</v>
      </c>
      <c r="S12" t="s">
        <v>1212</v>
      </c>
      <c r="T12" t="str">
        <f t="shared" si="12"/>
        <v>Y</v>
      </c>
      <c r="U12" s="6" t="s">
        <v>1213</v>
      </c>
      <c r="V12" s="6" t="str">
        <f t="shared" si="12"/>
        <v>Y</v>
      </c>
      <c r="W12" s="6" t="s">
        <v>1214</v>
      </c>
    </row>
    <row r="13" spans="1:94" x14ac:dyDescent="0.4">
      <c r="A13" s="7"/>
      <c r="B13" s="7"/>
      <c r="C13" s="7"/>
      <c r="D13" s="7"/>
      <c r="E13" s="8"/>
      <c r="F13" s="7"/>
      <c r="G13" s="43" t="s">
        <v>5419</v>
      </c>
      <c r="H13" s="5" t="str">
        <f t="shared" si="0"/>
        <v>alternative</v>
      </c>
      <c r="I13" s="37" t="s">
        <v>5520</v>
      </c>
      <c r="J13" s="5" t="str">
        <f t="shared" si="0"/>
        <v>flexible</v>
      </c>
      <c r="K13" s="37" t="s">
        <v>5621</v>
      </c>
      <c r="L13" s="5" t="str">
        <f t="shared" si="0"/>
        <v/>
      </c>
      <c r="M13" s="45" t="s">
        <v>5431</v>
      </c>
      <c r="N13" s="5" t="str">
        <f t="shared" si="2"/>
        <v>scarcely</v>
      </c>
      <c r="P13" s="6" t="str">
        <f t="shared" si="5"/>
        <v>N</v>
      </c>
      <c r="Q13" s="6" t="s">
        <v>1215</v>
      </c>
      <c r="R13" t="str">
        <f t="shared" ref="R13:V13" si="13">IF(EXACT(S13,I13)=TRUE,"Y","N")</f>
        <v>N</v>
      </c>
      <c r="S13" t="s">
        <v>1216</v>
      </c>
      <c r="T13" t="str">
        <f t="shared" si="13"/>
        <v>Y</v>
      </c>
      <c r="U13" s="6" t="s">
        <v>1217</v>
      </c>
      <c r="V13" s="6" t="str">
        <f t="shared" si="13"/>
        <v>N</v>
      </c>
      <c r="W13" s="6" t="s">
        <v>1218</v>
      </c>
    </row>
    <row r="14" spans="1:94" x14ac:dyDescent="0.4">
      <c r="A14" s="7"/>
      <c r="B14" s="7"/>
      <c r="C14" s="7"/>
      <c r="D14" s="7"/>
      <c r="E14" s="8"/>
      <c r="F14" s="7"/>
      <c r="G14" s="43" t="s">
        <v>5420</v>
      </c>
      <c r="H14" s="5" t="str">
        <f t="shared" si="0"/>
        <v/>
      </c>
      <c r="I14" s="37" t="s">
        <v>5521</v>
      </c>
      <c r="J14" s="5" t="str">
        <f t="shared" si="0"/>
        <v/>
      </c>
      <c r="K14" s="37" t="s">
        <v>5622</v>
      </c>
      <c r="L14" s="5" t="str">
        <f t="shared" si="0"/>
        <v/>
      </c>
      <c r="M14" s="45" t="s">
        <v>5740</v>
      </c>
      <c r="N14" s="5" t="str">
        <f t="shared" si="2"/>
        <v/>
      </c>
      <c r="P14" s="6" t="str">
        <f t="shared" si="5"/>
        <v>N</v>
      </c>
      <c r="Q14" s="6" t="s">
        <v>1219</v>
      </c>
      <c r="R14" t="str">
        <f t="shared" ref="R14:V14" si="14">IF(EXACT(S14,I14)=TRUE,"Y","N")</f>
        <v>Y</v>
      </c>
      <c r="S14" t="s">
        <v>1220</v>
      </c>
      <c r="T14" t="str">
        <f t="shared" si="14"/>
        <v>Y</v>
      </c>
      <c r="U14" s="6" t="s">
        <v>1221</v>
      </c>
      <c r="V14" s="6" t="str">
        <f t="shared" si="14"/>
        <v>Y</v>
      </c>
      <c r="W14" s="6" t="s">
        <v>1222</v>
      </c>
    </row>
    <row r="15" spans="1:94" x14ac:dyDescent="0.4">
      <c r="A15" s="8"/>
      <c r="B15" s="8"/>
      <c r="C15" s="8"/>
      <c r="D15" s="8"/>
      <c r="E15" s="8"/>
      <c r="F15" s="7"/>
      <c r="G15" s="43" t="s">
        <v>5421</v>
      </c>
      <c r="H15" s="5" t="str">
        <f t="shared" si="0"/>
        <v>ambiguous</v>
      </c>
      <c r="I15" s="37" t="s">
        <v>5522</v>
      </c>
      <c r="J15" s="5" t="str">
        <f t="shared" si="0"/>
        <v/>
      </c>
      <c r="K15" s="37" t="s">
        <v>5623</v>
      </c>
      <c r="L15" s="5" t="str">
        <f t="shared" si="0"/>
        <v>promising</v>
      </c>
      <c r="M15" s="27"/>
      <c r="N15" s="5" t="str">
        <f t="shared" si="2"/>
        <v/>
      </c>
      <c r="P15" s="6" t="str">
        <f t="shared" si="5"/>
        <v>N</v>
      </c>
      <c r="Q15" s="6" t="s">
        <v>1223</v>
      </c>
      <c r="R15" t="str">
        <f t="shared" ref="R15:T15" si="15">IF(EXACT(S15,I15)=TRUE,"Y","N")</f>
        <v>Y</v>
      </c>
      <c r="S15" t="s">
        <v>1224</v>
      </c>
      <c r="T15" t="str">
        <f t="shared" si="15"/>
        <v>N</v>
      </c>
      <c r="U15" s="6" t="s">
        <v>1225</v>
      </c>
      <c r="V15" s="6"/>
      <c r="W15" s="6"/>
    </row>
    <row r="16" spans="1:94" x14ac:dyDescent="0.4">
      <c r="A16" s="8"/>
      <c r="B16" s="8"/>
      <c r="C16" s="8"/>
      <c r="D16" s="8"/>
      <c r="E16" s="8"/>
      <c r="F16" s="7"/>
      <c r="G16" s="43" t="s">
        <v>5422</v>
      </c>
      <c r="H16" s="5" t="str">
        <f t="shared" si="0"/>
        <v/>
      </c>
      <c r="I16" s="37" t="s">
        <v>5523</v>
      </c>
      <c r="J16" s="5" t="str">
        <f t="shared" si="0"/>
        <v/>
      </c>
      <c r="K16" s="37" t="s">
        <v>5431</v>
      </c>
      <c r="L16" s="5" t="str">
        <f t="shared" si="0"/>
        <v>psychiatric</v>
      </c>
      <c r="M16" s="27"/>
      <c r="N16" s="5" t="str">
        <f t="shared" si="2"/>
        <v/>
      </c>
      <c r="P16" s="6" t="str">
        <f t="shared" si="5"/>
        <v>N</v>
      </c>
      <c r="Q16" s="6" t="s">
        <v>1226</v>
      </c>
      <c r="R16" t="str">
        <f t="shared" ref="R16:T16" si="16">IF(EXACT(S16,I16)=TRUE,"Y","N")</f>
        <v>Y</v>
      </c>
      <c r="S16" t="s">
        <v>1227</v>
      </c>
      <c r="T16" t="str">
        <f t="shared" si="16"/>
        <v>N</v>
      </c>
      <c r="U16" s="6" t="s">
        <v>1228</v>
      </c>
      <c r="V16" s="6"/>
      <c r="W16" s="6"/>
    </row>
    <row r="17" spans="1:23" x14ac:dyDescent="0.4">
      <c r="A17" s="8"/>
      <c r="B17" s="8"/>
      <c r="C17" s="8"/>
      <c r="D17" s="8"/>
      <c r="E17" s="8"/>
      <c r="F17" s="7"/>
      <c r="G17" s="43" t="s">
        <v>5423</v>
      </c>
      <c r="H17" s="5" t="str">
        <f t="shared" si="0"/>
        <v>analytical</v>
      </c>
      <c r="I17" s="37" t="s">
        <v>5524</v>
      </c>
      <c r="J17" s="5" t="str">
        <f t="shared" si="0"/>
        <v/>
      </c>
      <c r="K17" s="37" t="s">
        <v>5624</v>
      </c>
      <c r="L17" s="5" t="str">
        <f t="shared" si="0"/>
        <v/>
      </c>
      <c r="M17" s="27"/>
      <c r="N17" s="5" t="str">
        <f t="shared" si="2"/>
        <v/>
      </c>
      <c r="P17" s="6" t="str">
        <f t="shared" si="5"/>
        <v>N</v>
      </c>
      <c r="Q17" s="6" t="s">
        <v>1229</v>
      </c>
      <c r="R17" t="str">
        <f t="shared" ref="R17:T17" si="17">IF(EXACT(S17,I17)=TRUE,"Y","N")</f>
        <v>Y</v>
      </c>
      <c r="S17" t="s">
        <v>1230</v>
      </c>
      <c r="T17" t="str">
        <f t="shared" si="17"/>
        <v>Y</v>
      </c>
      <c r="U17" s="6" t="s">
        <v>1231</v>
      </c>
      <c r="V17" s="6"/>
      <c r="W17" s="6"/>
    </row>
    <row r="18" spans="1:23" x14ac:dyDescent="0.4">
      <c r="A18" s="8"/>
      <c r="B18" s="8"/>
      <c r="C18" s="8"/>
      <c r="D18" s="8"/>
      <c r="E18" s="8"/>
      <c r="F18" s="7"/>
      <c r="G18" s="37" t="s">
        <v>5424</v>
      </c>
      <c r="H18" s="5" t="str">
        <f t="shared" si="0"/>
        <v/>
      </c>
      <c r="I18" s="37" t="s">
        <v>5525</v>
      </c>
      <c r="J18" s="5" t="str">
        <f t="shared" si="0"/>
        <v/>
      </c>
      <c r="K18" s="37" t="s">
        <v>5625</v>
      </c>
      <c r="L18" s="5" t="str">
        <f t="shared" si="0"/>
        <v/>
      </c>
      <c r="M18" s="27"/>
      <c r="N18" s="5" t="str">
        <f t="shared" si="2"/>
        <v/>
      </c>
      <c r="P18" s="6" t="str">
        <f t="shared" si="5"/>
        <v>N</v>
      </c>
      <c r="Q18" s="6" t="s">
        <v>1232</v>
      </c>
      <c r="R18" t="str">
        <f t="shared" ref="R18:T18" si="18">IF(EXACT(S18,I18)=TRUE,"Y","N")</f>
        <v>Y</v>
      </c>
      <c r="S18" t="s">
        <v>1233</v>
      </c>
      <c r="T18" t="str">
        <f t="shared" si="18"/>
        <v>Y</v>
      </c>
      <c r="U18" s="6" t="s">
        <v>1234</v>
      </c>
      <c r="V18" s="6"/>
      <c r="W18" s="6"/>
    </row>
    <row r="19" spans="1:23" x14ac:dyDescent="0.4">
      <c r="A19" s="52" t="s">
        <v>244</v>
      </c>
      <c r="B19" s="53"/>
      <c r="C19" s="53"/>
      <c r="D19" s="53"/>
      <c r="E19" s="7"/>
      <c r="F19" s="7"/>
      <c r="G19" s="37" t="s">
        <v>5425</v>
      </c>
      <c r="H19" s="5" t="str">
        <f t="shared" ref="H19:H82" si="19">IF(IF(EXACT(Q19,G19)=TRUE,"Y","N")="Y","",VLOOKUP(IF(EXACT(Q19,G19)=TRUE,"Y","N"),P19:Q19,2,FALSE))</f>
        <v/>
      </c>
      <c r="I19" s="37" t="s">
        <v>5526</v>
      </c>
      <c r="J19" s="5" t="str">
        <f t="shared" ref="J19:J82" si="20">IF(IF(EXACT(S19,I19)=TRUE,"Y","N")="Y","",VLOOKUP(IF(EXACT(S19,I19)=TRUE,"Y","N"),R19:S19,2,FALSE))</f>
        <v/>
      </c>
      <c r="K19" s="37" t="s">
        <v>5626</v>
      </c>
      <c r="L19" s="5" t="str">
        <f t="shared" ref="L19:L82" si="21">IF(IF(EXACT(U19,K19)=TRUE,"Y","N")="Y","",VLOOKUP(IF(EXACT(U19,K19)=TRUE,"Y","N"),T19:U19,2,FALSE))</f>
        <v/>
      </c>
      <c r="M19" s="27"/>
      <c r="N19" s="5" t="str">
        <f t="shared" si="2"/>
        <v/>
      </c>
      <c r="P19" s="6" t="str">
        <f t="shared" si="5"/>
        <v>N</v>
      </c>
      <c r="Q19" s="6" t="s">
        <v>1235</v>
      </c>
      <c r="R19" t="str">
        <f t="shared" ref="R19:T19" si="22">IF(EXACT(S19,I19)=TRUE,"Y","N")</f>
        <v>Y</v>
      </c>
      <c r="S19" t="s">
        <v>1236</v>
      </c>
      <c r="T19" t="str">
        <f t="shared" si="22"/>
        <v>Y</v>
      </c>
      <c r="U19" s="6" t="s">
        <v>1237</v>
      </c>
      <c r="V19" s="6"/>
      <c r="W19" s="6"/>
    </row>
    <row r="20" spans="1:23" x14ac:dyDescent="0.4">
      <c r="A20" s="53"/>
      <c r="B20" s="53"/>
      <c r="C20" s="53"/>
      <c r="D20" s="53"/>
      <c r="E20" s="7"/>
      <c r="F20" s="7"/>
      <c r="G20" s="37" t="s">
        <v>5426</v>
      </c>
      <c r="H20" s="5" t="str">
        <f t="shared" si="19"/>
        <v/>
      </c>
      <c r="I20" s="37" t="s">
        <v>5527</v>
      </c>
      <c r="J20" s="5" t="str">
        <f t="shared" si="20"/>
        <v/>
      </c>
      <c r="K20" s="37" t="s">
        <v>5627</v>
      </c>
      <c r="L20" s="5" t="str">
        <f t="shared" si="21"/>
        <v/>
      </c>
      <c r="M20" s="27"/>
      <c r="N20" s="5" t="str">
        <f t="shared" si="2"/>
        <v/>
      </c>
      <c r="P20" s="6" t="str">
        <f t="shared" si="5"/>
        <v>N</v>
      </c>
      <c r="Q20" s="6" t="s">
        <v>1238</v>
      </c>
      <c r="R20" t="str">
        <f t="shared" ref="R20:T20" si="23">IF(EXACT(S20,I20)=TRUE,"Y","N")</f>
        <v>Y</v>
      </c>
      <c r="S20" t="s">
        <v>1239</v>
      </c>
      <c r="T20" t="str">
        <f t="shared" si="23"/>
        <v>Y</v>
      </c>
      <c r="U20" s="6" t="s">
        <v>1240</v>
      </c>
      <c r="V20" s="6"/>
      <c r="W20" s="6"/>
    </row>
    <row r="21" spans="1:23" x14ac:dyDescent="0.4">
      <c r="A21" s="53"/>
      <c r="B21" s="53"/>
      <c r="C21" s="53"/>
      <c r="D21" s="53"/>
      <c r="E21" s="7"/>
      <c r="F21" s="7"/>
      <c r="G21" s="37" t="s">
        <v>5427</v>
      </c>
      <c r="H21" s="5" t="str">
        <f t="shared" si="19"/>
        <v>archaeological</v>
      </c>
      <c r="I21" s="37" t="s">
        <v>5528</v>
      </c>
      <c r="J21" s="5" t="str">
        <f t="shared" si="20"/>
        <v/>
      </c>
      <c r="K21" s="37" t="s">
        <v>5628</v>
      </c>
      <c r="L21" s="5" t="str">
        <f t="shared" si="21"/>
        <v>Queen's</v>
      </c>
      <c r="M21" s="27"/>
      <c r="N21" s="5" t="str">
        <f t="shared" si="2"/>
        <v/>
      </c>
      <c r="P21" s="6" t="str">
        <f t="shared" si="5"/>
        <v>N</v>
      </c>
      <c r="Q21" s="6" t="s">
        <v>1241</v>
      </c>
      <c r="R21" t="str">
        <f t="shared" ref="R21:T21" si="24">IF(EXACT(S21,I21)=TRUE,"Y","N")</f>
        <v>Y</v>
      </c>
      <c r="S21" t="s">
        <v>1242</v>
      </c>
      <c r="T21" t="str">
        <f t="shared" si="24"/>
        <v>N</v>
      </c>
      <c r="U21" s="6" t="s">
        <v>1243</v>
      </c>
      <c r="V21" s="6"/>
      <c r="W21" s="6"/>
    </row>
    <row r="22" spans="1:23" x14ac:dyDescent="0.4">
      <c r="A22" s="54"/>
      <c r="B22" s="53"/>
      <c r="C22" s="54"/>
      <c r="D22" s="54"/>
      <c r="E22" s="7"/>
      <c r="F22" s="7"/>
      <c r="G22" s="37" t="s">
        <v>5428</v>
      </c>
      <c r="H22" s="5" t="str">
        <f t="shared" si="19"/>
        <v/>
      </c>
      <c r="I22" s="37" t="s">
        <v>5529</v>
      </c>
      <c r="J22" s="5" t="str">
        <f t="shared" si="20"/>
        <v/>
      </c>
      <c r="K22" s="37" t="s">
        <v>5629</v>
      </c>
      <c r="L22" s="5" t="str">
        <f t="shared" si="21"/>
        <v/>
      </c>
      <c r="M22" s="27"/>
      <c r="N22" s="5" t="str">
        <f t="shared" si="2"/>
        <v/>
      </c>
      <c r="P22" s="6" t="str">
        <f t="shared" si="5"/>
        <v>N</v>
      </c>
      <c r="Q22" s="6" t="s">
        <v>1244</v>
      </c>
      <c r="R22" t="str">
        <f t="shared" ref="R22:T22" si="25">IF(EXACT(S22,I22)=TRUE,"Y","N")</f>
        <v>Y</v>
      </c>
      <c r="S22" t="s">
        <v>1245</v>
      </c>
      <c r="T22" t="str">
        <f t="shared" si="25"/>
        <v>Y</v>
      </c>
      <c r="U22" s="6" t="s">
        <v>1246</v>
      </c>
      <c r="V22" s="6"/>
      <c r="W22" s="6"/>
    </row>
    <row r="23" spans="1:23" x14ac:dyDescent="0.4">
      <c r="A23" s="53"/>
      <c r="B23" s="53"/>
      <c r="C23" s="53"/>
      <c r="D23" s="53"/>
      <c r="E23" s="7"/>
      <c r="F23" s="7"/>
      <c r="G23" s="37" t="s">
        <v>5429</v>
      </c>
      <c r="H23" s="5" t="str">
        <f t="shared" si="19"/>
        <v/>
      </c>
      <c r="I23" s="37" t="s">
        <v>5530</v>
      </c>
      <c r="J23" s="5" t="str">
        <f t="shared" si="20"/>
        <v/>
      </c>
      <c r="K23" s="37" t="s">
        <v>5630</v>
      </c>
      <c r="L23" s="5" t="str">
        <f t="shared" si="21"/>
        <v/>
      </c>
      <c r="M23" s="27"/>
      <c r="N23" s="5" t="str">
        <f t="shared" si="2"/>
        <v/>
      </c>
      <c r="P23" s="6" t="str">
        <f t="shared" si="5"/>
        <v>N</v>
      </c>
      <c r="Q23" s="6" t="s">
        <v>1247</v>
      </c>
      <c r="R23" t="str">
        <f t="shared" ref="R23:T23" si="26">IF(EXACT(S23,I23)=TRUE,"Y","N")</f>
        <v>Y</v>
      </c>
      <c r="S23" t="s">
        <v>1248</v>
      </c>
      <c r="T23" t="str">
        <f t="shared" si="26"/>
        <v>Y</v>
      </c>
      <c r="U23" s="6" t="s">
        <v>1249</v>
      </c>
      <c r="V23" s="6"/>
      <c r="W23" s="6"/>
    </row>
    <row r="24" spans="1:23" x14ac:dyDescent="0.4">
      <c r="A24" s="53"/>
      <c r="B24" s="53"/>
      <c r="C24" s="53"/>
      <c r="D24" s="53"/>
      <c r="E24" s="7"/>
      <c r="F24" s="7"/>
      <c r="G24" s="37" t="s">
        <v>5430</v>
      </c>
      <c r="H24" s="5" t="str">
        <f t="shared" si="19"/>
        <v>ascending</v>
      </c>
      <c r="I24" s="37" t="s">
        <v>5531</v>
      </c>
      <c r="J24" s="5" t="str">
        <f t="shared" si="20"/>
        <v/>
      </c>
      <c r="K24" s="37" t="s">
        <v>5631</v>
      </c>
      <c r="L24" s="5" t="str">
        <f t="shared" si="21"/>
        <v/>
      </c>
      <c r="M24" s="27"/>
      <c r="N24" s="5" t="str">
        <f t="shared" si="2"/>
        <v/>
      </c>
      <c r="P24" s="6" t="str">
        <f t="shared" si="5"/>
        <v>N</v>
      </c>
      <c r="Q24" s="6" t="s">
        <v>1250</v>
      </c>
      <c r="R24" t="str">
        <f t="shared" ref="R24:T24" si="27">IF(EXACT(S24,I24)=TRUE,"Y","N")</f>
        <v>Y</v>
      </c>
      <c r="S24" t="s">
        <v>1251</v>
      </c>
      <c r="T24" t="str">
        <f t="shared" si="27"/>
        <v>Y</v>
      </c>
      <c r="U24" s="6" t="s">
        <v>1252</v>
      </c>
      <c r="V24" s="6"/>
      <c r="W24" s="6"/>
    </row>
    <row r="25" spans="1:23" x14ac:dyDescent="0.4">
      <c r="A25" s="53"/>
      <c r="B25" s="53"/>
      <c r="C25" s="53"/>
      <c r="D25" s="53"/>
      <c r="E25" s="7"/>
      <c r="F25" s="7"/>
      <c r="G25" s="37" t="s">
        <v>5431</v>
      </c>
      <c r="H25" s="5" t="str">
        <f t="shared" si="19"/>
        <v>atmospheric</v>
      </c>
      <c r="I25" s="37" t="s">
        <v>5532</v>
      </c>
      <c r="J25" s="5" t="str">
        <f t="shared" si="20"/>
        <v/>
      </c>
      <c r="K25" s="37" t="s">
        <v>5632</v>
      </c>
      <c r="L25" s="5" t="str">
        <f t="shared" si="21"/>
        <v/>
      </c>
      <c r="M25" s="27"/>
      <c r="N25" s="5" t="str">
        <f t="shared" si="2"/>
        <v/>
      </c>
      <c r="P25" s="6" t="str">
        <f t="shared" si="5"/>
        <v>N</v>
      </c>
      <c r="Q25" s="6" t="s">
        <v>1253</v>
      </c>
      <c r="R25" t="str">
        <f t="shared" ref="R25:T25" si="28">IF(EXACT(S25,I25)=TRUE,"Y","N")</f>
        <v>Y</v>
      </c>
      <c r="S25" t="s">
        <v>1254</v>
      </c>
      <c r="T25" t="str">
        <f t="shared" si="28"/>
        <v>Y</v>
      </c>
      <c r="U25" s="6" t="s">
        <v>1255</v>
      </c>
      <c r="V25" s="6"/>
      <c r="W25" s="6"/>
    </row>
    <row r="26" spans="1:23" x14ac:dyDescent="0.4">
      <c r="A26" s="54"/>
      <c r="B26" s="53"/>
      <c r="C26" s="54"/>
      <c r="D26" s="54"/>
      <c r="E26" s="7"/>
      <c r="F26" s="7"/>
      <c r="G26" s="37" t="s">
        <v>5432</v>
      </c>
      <c r="H26" s="5" t="str">
        <f t="shared" si="19"/>
        <v/>
      </c>
      <c r="I26" s="37" t="s">
        <v>5533</v>
      </c>
      <c r="J26" s="5" t="str">
        <f t="shared" si="20"/>
        <v/>
      </c>
      <c r="K26" s="37" t="s">
        <v>5633</v>
      </c>
      <c r="L26" s="5" t="str">
        <f t="shared" si="21"/>
        <v/>
      </c>
      <c r="M26" s="27"/>
      <c r="N26" s="5" t="str">
        <f t="shared" si="2"/>
        <v/>
      </c>
      <c r="P26" s="6" t="str">
        <f t="shared" si="5"/>
        <v>N</v>
      </c>
      <c r="Q26" s="6" t="s">
        <v>1256</v>
      </c>
      <c r="R26" t="str">
        <f t="shared" ref="R26:T26" si="29">IF(EXACT(S26,I26)=TRUE,"Y","N")</f>
        <v>Y</v>
      </c>
      <c r="S26" t="s">
        <v>1257</v>
      </c>
      <c r="T26" t="str">
        <f t="shared" si="29"/>
        <v>Y</v>
      </c>
      <c r="U26" s="6" t="s">
        <v>1258</v>
      </c>
      <c r="V26" s="6"/>
      <c r="W26" s="6"/>
    </row>
    <row r="27" spans="1:23" x14ac:dyDescent="0.4">
      <c r="A27" s="7"/>
      <c r="B27" s="7"/>
      <c r="C27" s="7"/>
      <c r="D27" s="7"/>
      <c r="E27" s="7"/>
      <c r="F27" s="7"/>
      <c r="G27" s="37" t="s">
        <v>5433</v>
      </c>
      <c r="H27" s="5" t="str">
        <f t="shared" si="19"/>
        <v/>
      </c>
      <c r="I27" s="37" t="s">
        <v>5534</v>
      </c>
      <c r="J27" s="5" t="str">
        <f t="shared" si="20"/>
        <v>hazardous</v>
      </c>
      <c r="K27" s="37" t="s">
        <v>5634</v>
      </c>
      <c r="L27" s="5" t="str">
        <f t="shared" si="21"/>
        <v>redundant</v>
      </c>
      <c r="M27" s="27"/>
      <c r="N27" s="5" t="str">
        <f t="shared" si="2"/>
        <v/>
      </c>
      <c r="P27" s="6" t="str">
        <f t="shared" si="5"/>
        <v>N</v>
      </c>
      <c r="Q27" s="6" t="s">
        <v>1259</v>
      </c>
      <c r="R27" t="str">
        <f t="shared" ref="R27:T27" si="30">IF(EXACT(S27,I27)=TRUE,"Y","N")</f>
        <v>N</v>
      </c>
      <c r="S27" t="s">
        <v>1260</v>
      </c>
      <c r="T27" t="str">
        <f t="shared" si="30"/>
        <v>N</v>
      </c>
      <c r="U27" s="6" t="s">
        <v>1261</v>
      </c>
      <c r="V27" s="6"/>
      <c r="W27" s="6"/>
    </row>
    <row r="28" spans="1:23" x14ac:dyDescent="0.4">
      <c r="A28" s="7"/>
      <c r="B28" s="7"/>
      <c r="C28" s="7"/>
      <c r="D28" s="7"/>
      <c r="E28" s="7"/>
      <c r="F28" s="7"/>
      <c r="G28" s="37" t="s">
        <v>5434</v>
      </c>
      <c r="H28" s="5" t="str">
        <f t="shared" si="19"/>
        <v/>
      </c>
      <c r="I28" s="37" t="s">
        <v>5535</v>
      </c>
      <c r="J28" s="5" t="str">
        <f t="shared" si="20"/>
        <v/>
      </c>
      <c r="K28" s="37" t="s">
        <v>5635</v>
      </c>
      <c r="L28" s="5" t="str">
        <f t="shared" si="21"/>
        <v/>
      </c>
      <c r="M28" s="27"/>
      <c r="N28" s="5" t="str">
        <f t="shared" si="2"/>
        <v/>
      </c>
      <c r="P28" s="6" t="str">
        <f t="shared" si="5"/>
        <v>N</v>
      </c>
      <c r="Q28" s="6" t="s">
        <v>1262</v>
      </c>
      <c r="R28" t="str">
        <f t="shared" ref="R28:T28" si="31">IF(EXACT(S28,I28)=TRUE,"Y","N")</f>
        <v>Y</v>
      </c>
      <c r="S28" t="s">
        <v>1263</v>
      </c>
      <c r="T28" t="str">
        <f t="shared" si="31"/>
        <v>Y</v>
      </c>
      <c r="U28" s="6" t="s">
        <v>1264</v>
      </c>
      <c r="V28" s="6"/>
      <c r="W28" s="6"/>
    </row>
    <row r="29" spans="1:23" x14ac:dyDescent="0.4">
      <c r="A29" s="7"/>
      <c r="B29" s="7"/>
      <c r="C29" s="7"/>
      <c r="D29" s="7"/>
      <c r="E29" s="7"/>
      <c r="F29" s="7"/>
      <c r="G29" s="37" t="s">
        <v>5435</v>
      </c>
      <c r="H29" s="5" t="str">
        <f t="shared" si="19"/>
        <v/>
      </c>
      <c r="I29" s="37" t="s">
        <v>5536</v>
      </c>
      <c r="J29" s="5" t="str">
        <f t="shared" si="20"/>
        <v/>
      </c>
      <c r="K29" s="37" t="s">
        <v>5636</v>
      </c>
      <c r="L29" s="5" t="str">
        <f t="shared" si="21"/>
        <v/>
      </c>
      <c r="M29" s="27"/>
      <c r="N29" s="5" t="str">
        <f t="shared" si="2"/>
        <v/>
      </c>
      <c r="P29" s="6" t="str">
        <f t="shared" si="5"/>
        <v>N</v>
      </c>
      <c r="Q29" s="6" t="s">
        <v>1265</v>
      </c>
      <c r="R29" t="str">
        <f t="shared" ref="R29:T29" si="32">IF(EXACT(S29,I29)=TRUE,"Y","N")</f>
        <v>Y</v>
      </c>
      <c r="S29" t="s">
        <v>1266</v>
      </c>
      <c r="T29" t="str">
        <f t="shared" si="32"/>
        <v>Y</v>
      </c>
      <c r="U29" s="6" t="s">
        <v>1267</v>
      </c>
      <c r="V29" s="6"/>
      <c r="W29" s="6"/>
    </row>
    <row r="30" spans="1:23" x14ac:dyDescent="0.4">
      <c r="E30" s="7"/>
      <c r="F30" s="7"/>
      <c r="G30" s="37" t="s">
        <v>5436</v>
      </c>
      <c r="H30" s="5" t="str">
        <f t="shared" si="19"/>
        <v/>
      </c>
      <c r="I30" s="37" t="s">
        <v>5537</v>
      </c>
      <c r="J30" s="5" t="str">
        <f t="shared" si="20"/>
        <v/>
      </c>
      <c r="K30" s="37" t="s">
        <v>5637</v>
      </c>
      <c r="L30" s="5" t="str">
        <f t="shared" si="21"/>
        <v>reinforced</v>
      </c>
      <c r="M30" s="27"/>
      <c r="N30" s="5" t="str">
        <f t="shared" si="2"/>
        <v/>
      </c>
      <c r="P30" s="6" t="str">
        <f t="shared" si="5"/>
        <v>N</v>
      </c>
      <c r="Q30" s="6" t="s">
        <v>1268</v>
      </c>
      <c r="R30" t="str">
        <f t="shared" ref="R30:T30" si="33">IF(EXACT(S30,I30)=TRUE,"Y","N")</f>
        <v>Y</v>
      </c>
      <c r="S30" t="s">
        <v>1269</v>
      </c>
      <c r="T30" t="str">
        <f t="shared" si="33"/>
        <v>N</v>
      </c>
      <c r="U30" s="6" t="s">
        <v>1270</v>
      </c>
      <c r="V30" s="6"/>
      <c r="W30" s="6"/>
    </row>
    <row r="31" spans="1:23" x14ac:dyDescent="0.4">
      <c r="A31" s="7"/>
      <c r="B31" s="7"/>
      <c r="C31" s="7"/>
      <c r="D31" s="7"/>
      <c r="E31" s="7"/>
      <c r="F31" s="7"/>
      <c r="G31" s="37" t="s">
        <v>5431</v>
      </c>
      <c r="H31" s="5" t="str">
        <f t="shared" si="19"/>
        <v>auto</v>
      </c>
      <c r="I31" s="37" t="s">
        <v>5538</v>
      </c>
      <c r="J31" s="5" t="str">
        <f t="shared" si="20"/>
        <v/>
      </c>
      <c r="K31" s="37" t="s">
        <v>5638</v>
      </c>
      <c r="L31" s="5" t="str">
        <f t="shared" si="21"/>
        <v/>
      </c>
      <c r="M31" s="27"/>
      <c r="N31" s="5" t="str">
        <f t="shared" si="2"/>
        <v/>
      </c>
      <c r="P31" s="6" t="str">
        <f t="shared" si="5"/>
        <v>N</v>
      </c>
      <c r="Q31" s="6" t="s">
        <v>1271</v>
      </c>
      <c r="R31" t="str">
        <f t="shared" ref="R31:T31" si="34">IF(EXACT(S31,I31)=TRUE,"Y","N")</f>
        <v>Y</v>
      </c>
      <c r="S31" t="s">
        <v>1272</v>
      </c>
      <c r="T31" t="str">
        <f t="shared" si="34"/>
        <v>Y</v>
      </c>
      <c r="U31" s="6" t="s">
        <v>1273</v>
      </c>
      <c r="V31" s="6"/>
      <c r="W31" s="6"/>
    </row>
    <row r="32" spans="1:23" ht="14.25" x14ac:dyDescent="0.4">
      <c r="A32" s="49" t="s">
        <v>360</v>
      </c>
      <c r="B32" s="50"/>
      <c r="C32" s="50"/>
      <c r="D32" s="50"/>
      <c r="E32" s="7"/>
      <c r="F32" s="7"/>
      <c r="G32" s="37" t="s">
        <v>5437</v>
      </c>
      <c r="H32" s="5" t="str">
        <f t="shared" si="19"/>
        <v>bald</v>
      </c>
      <c r="I32" s="37" t="s">
        <v>5431</v>
      </c>
      <c r="J32" s="5" t="str">
        <f t="shared" si="20"/>
        <v>herbivorous</v>
      </c>
      <c r="K32" s="37" t="s">
        <v>5729</v>
      </c>
      <c r="L32" s="5" t="str">
        <f t="shared" si="21"/>
        <v>relevant</v>
      </c>
      <c r="M32" s="27"/>
      <c r="N32" s="5" t="str">
        <f t="shared" si="2"/>
        <v/>
      </c>
      <c r="P32" s="6" t="str">
        <f t="shared" si="5"/>
        <v>N</v>
      </c>
      <c r="Q32" s="6" t="s">
        <v>1274</v>
      </c>
      <c r="R32" t="str">
        <f t="shared" ref="R32:T32" si="35">IF(EXACT(S32,I32)=TRUE,"Y","N")</f>
        <v>N</v>
      </c>
      <c r="S32" t="s">
        <v>1275</v>
      </c>
      <c r="T32" t="str">
        <f t="shared" si="35"/>
        <v>N</v>
      </c>
      <c r="U32" s="6" t="s">
        <v>1276</v>
      </c>
      <c r="V32" s="6"/>
      <c r="W32" s="6"/>
    </row>
    <row r="33" spans="1:23" x14ac:dyDescent="0.4">
      <c r="A33" s="7"/>
      <c r="B33" s="7"/>
      <c r="C33" s="7"/>
      <c r="D33" s="7"/>
      <c r="E33" s="7"/>
      <c r="F33" s="7"/>
      <c r="G33" s="37" t="s">
        <v>5438</v>
      </c>
      <c r="H33" s="5" t="str">
        <f t="shared" si="19"/>
        <v/>
      </c>
      <c r="I33" s="37" t="s">
        <v>5539</v>
      </c>
      <c r="J33" s="5" t="str">
        <f t="shared" si="20"/>
        <v/>
      </c>
      <c r="K33" s="37" t="s">
        <v>5639</v>
      </c>
      <c r="L33" s="5" t="str">
        <f t="shared" si="21"/>
        <v>reliable</v>
      </c>
      <c r="M33" s="27"/>
      <c r="N33" s="5" t="str">
        <f t="shared" si="2"/>
        <v/>
      </c>
      <c r="P33" s="6" t="str">
        <f t="shared" si="5"/>
        <v>N</v>
      </c>
      <c r="Q33" s="43" t="s">
        <v>5438</v>
      </c>
      <c r="R33" t="str">
        <f t="shared" ref="R33:T33" si="36">IF(EXACT(S33,I33)=TRUE,"Y","N")</f>
        <v>Y</v>
      </c>
      <c r="S33" t="s">
        <v>1277</v>
      </c>
      <c r="T33" t="str">
        <f t="shared" si="36"/>
        <v>N</v>
      </c>
      <c r="U33" s="6" t="s">
        <v>1278</v>
      </c>
      <c r="V33" s="6"/>
      <c r="W33" s="6"/>
    </row>
    <row r="34" spans="1:23" x14ac:dyDescent="0.4">
      <c r="A34" s="7"/>
      <c r="B34" s="7"/>
      <c r="C34" s="7"/>
      <c r="D34" s="7"/>
      <c r="E34" s="7"/>
      <c r="F34" s="7"/>
      <c r="G34" s="37" t="s">
        <v>5439</v>
      </c>
      <c r="H34" s="5" t="str">
        <f t="shared" si="19"/>
        <v/>
      </c>
      <c r="I34" s="37" t="s">
        <v>5540</v>
      </c>
      <c r="J34" s="5" t="str">
        <f t="shared" si="20"/>
        <v>highly-trained</v>
      </c>
      <c r="K34" s="37" t="s">
        <v>5640</v>
      </c>
      <c r="L34" s="5" t="str">
        <f t="shared" si="21"/>
        <v/>
      </c>
      <c r="M34" s="27"/>
      <c r="N34" s="5" t="str">
        <f t="shared" si="2"/>
        <v/>
      </c>
      <c r="P34" s="6" t="str">
        <f t="shared" si="5"/>
        <v>N</v>
      </c>
      <c r="Q34" s="6" t="s">
        <v>1279</v>
      </c>
      <c r="R34" t="str">
        <f t="shared" ref="R34:T34" si="37">IF(EXACT(S34,I34)=TRUE,"Y","N")</f>
        <v>N</v>
      </c>
      <c r="S34" t="s">
        <v>1280</v>
      </c>
      <c r="T34" t="str">
        <f t="shared" si="37"/>
        <v>Y</v>
      </c>
      <c r="U34" s="6" t="s">
        <v>1281</v>
      </c>
      <c r="V34" s="6"/>
      <c r="W34" s="6"/>
    </row>
    <row r="35" spans="1:23" x14ac:dyDescent="0.4">
      <c r="A35" s="7"/>
      <c r="B35" s="7"/>
      <c r="C35" s="7"/>
      <c r="D35" s="7"/>
      <c r="E35" s="7"/>
      <c r="F35" s="7"/>
      <c r="G35" s="37" t="s">
        <v>5440</v>
      </c>
      <c r="H35" s="5" t="str">
        <f t="shared" si="19"/>
        <v/>
      </c>
      <c r="I35" s="37" t="s">
        <v>5541</v>
      </c>
      <c r="J35" s="5" t="str">
        <f t="shared" si="20"/>
        <v/>
      </c>
      <c r="K35" s="37" t="s">
        <v>5641</v>
      </c>
      <c r="L35" s="5" t="str">
        <f t="shared" si="21"/>
        <v>resistant</v>
      </c>
      <c r="M35" s="27"/>
      <c r="N35" s="5" t="str">
        <f t="shared" si="2"/>
        <v/>
      </c>
      <c r="P35" s="6" t="str">
        <f t="shared" si="5"/>
        <v>N</v>
      </c>
      <c r="Q35" s="6" t="s">
        <v>1282</v>
      </c>
      <c r="R35" t="str">
        <f t="shared" ref="R35:T35" si="38">IF(EXACT(S35,I35)=TRUE,"Y","N")</f>
        <v>Y</v>
      </c>
      <c r="S35" t="s">
        <v>1283</v>
      </c>
      <c r="T35" t="str">
        <f t="shared" si="38"/>
        <v>N</v>
      </c>
      <c r="U35" s="6" t="s">
        <v>1284</v>
      </c>
      <c r="V35" s="6"/>
      <c r="W35" s="6"/>
    </row>
    <row r="36" spans="1:23" x14ac:dyDescent="0.4">
      <c r="A36" s="7"/>
      <c r="B36" s="7"/>
      <c r="C36" s="7"/>
      <c r="D36" s="7"/>
      <c r="E36" s="7"/>
      <c r="F36" s="7"/>
      <c r="G36" s="37" t="s">
        <v>5441</v>
      </c>
      <c r="H36" s="5" t="str">
        <f t="shared" si="19"/>
        <v/>
      </c>
      <c r="I36" s="37" t="s">
        <v>5431</v>
      </c>
      <c r="J36" s="5" t="str">
        <f t="shared" si="20"/>
        <v>least</v>
      </c>
      <c r="K36" s="37" t="s">
        <v>5642</v>
      </c>
      <c r="L36" s="5" t="str">
        <f t="shared" si="21"/>
        <v/>
      </c>
      <c r="M36" s="27"/>
      <c r="N36" s="5" t="str">
        <f t="shared" si="2"/>
        <v/>
      </c>
      <c r="P36" s="6" t="str">
        <f t="shared" si="5"/>
        <v>N</v>
      </c>
      <c r="Q36" s="6" t="s">
        <v>1285</v>
      </c>
      <c r="R36" t="str">
        <f t="shared" ref="R36:T36" si="39">IF(EXACT(S36,I36)=TRUE,"Y","N")</f>
        <v>N</v>
      </c>
      <c r="S36" t="s">
        <v>1286</v>
      </c>
      <c r="T36" t="str">
        <f t="shared" si="39"/>
        <v>Y</v>
      </c>
      <c r="U36" s="6" t="s">
        <v>1287</v>
      </c>
      <c r="V36" s="6"/>
      <c r="W36" s="6"/>
    </row>
    <row r="37" spans="1:23" x14ac:dyDescent="0.4">
      <c r="A37" s="7"/>
      <c r="B37" s="7"/>
      <c r="C37" s="7"/>
      <c r="D37" s="7"/>
      <c r="E37" s="7"/>
      <c r="F37" s="7"/>
      <c r="G37" s="37" t="s">
        <v>5442</v>
      </c>
      <c r="H37" s="5" t="str">
        <f t="shared" si="19"/>
        <v/>
      </c>
      <c r="I37" s="37" t="s">
        <v>5542</v>
      </c>
      <c r="J37" s="5" t="str">
        <f t="shared" si="20"/>
        <v/>
      </c>
      <c r="K37" s="37" t="s">
        <v>5643</v>
      </c>
      <c r="L37" s="5" t="str">
        <f t="shared" si="21"/>
        <v/>
      </c>
      <c r="M37" s="27"/>
      <c r="N37" s="5" t="str">
        <f t="shared" si="2"/>
        <v/>
      </c>
      <c r="P37" s="6" t="str">
        <f t="shared" si="5"/>
        <v>N</v>
      </c>
      <c r="Q37" s="6" t="s">
        <v>1288</v>
      </c>
      <c r="R37" t="str">
        <f t="shared" ref="R37:T37" si="40">IF(EXACT(S37,I37)=TRUE,"Y","N")</f>
        <v>Y</v>
      </c>
      <c r="S37" t="s">
        <v>1289</v>
      </c>
      <c r="T37" t="str">
        <f t="shared" si="40"/>
        <v>Y</v>
      </c>
      <c r="U37" s="6" t="s">
        <v>1290</v>
      </c>
      <c r="V37" s="6"/>
      <c r="W37" s="6"/>
    </row>
    <row r="38" spans="1:23" x14ac:dyDescent="0.4">
      <c r="A38" s="7"/>
      <c r="B38" s="7"/>
      <c r="C38" s="7"/>
      <c r="D38" s="7"/>
      <c r="E38" s="7"/>
      <c r="F38" s="7"/>
      <c r="G38" s="37" t="s">
        <v>5443</v>
      </c>
      <c r="H38" s="5" t="str">
        <f t="shared" si="19"/>
        <v/>
      </c>
      <c r="I38" s="37" t="s">
        <v>5543</v>
      </c>
      <c r="J38" s="5" t="str">
        <f t="shared" si="20"/>
        <v>illega</v>
      </c>
      <c r="K38" s="37" t="s">
        <v>5644</v>
      </c>
      <c r="L38" s="5" t="str">
        <f t="shared" si="21"/>
        <v/>
      </c>
      <c r="M38" s="27"/>
      <c r="N38" s="5" t="str">
        <f t="shared" si="2"/>
        <v/>
      </c>
      <c r="P38" s="6" t="str">
        <f t="shared" si="5"/>
        <v>N</v>
      </c>
      <c r="Q38" s="6" t="s">
        <v>1291</v>
      </c>
      <c r="R38" t="str">
        <f t="shared" ref="R38:T38" si="41">IF(EXACT(S38,I38)=TRUE,"Y","N")</f>
        <v>N</v>
      </c>
      <c r="S38" t="s">
        <v>1292</v>
      </c>
      <c r="T38" t="str">
        <f t="shared" si="41"/>
        <v>Y</v>
      </c>
      <c r="U38" s="6" t="s">
        <v>1293</v>
      </c>
      <c r="V38" s="6"/>
      <c r="W38" s="6"/>
    </row>
    <row r="39" spans="1:23" x14ac:dyDescent="0.4">
      <c r="A39" s="7"/>
      <c r="B39" s="7"/>
      <c r="C39" s="7"/>
      <c r="D39" s="7"/>
      <c r="E39" s="7"/>
      <c r="F39" s="7"/>
      <c r="G39" s="37" t="s">
        <v>5510</v>
      </c>
      <c r="H39" s="5" t="str">
        <f t="shared" si="19"/>
        <v/>
      </c>
      <c r="I39" s="37" t="s">
        <v>5544</v>
      </c>
      <c r="J39" s="5" t="str">
        <f t="shared" si="20"/>
        <v/>
      </c>
      <c r="K39" s="37" t="s">
        <v>5645</v>
      </c>
      <c r="L39" s="5" t="str">
        <f t="shared" si="21"/>
        <v/>
      </c>
      <c r="M39" s="27"/>
      <c r="N39" s="5" t="str">
        <f t="shared" si="2"/>
        <v/>
      </c>
      <c r="P39" s="6" t="str">
        <f t="shared" si="5"/>
        <v>N</v>
      </c>
      <c r="Q39" s="6" t="s">
        <v>1294</v>
      </c>
      <c r="R39" t="str">
        <f t="shared" ref="R39:T39" si="42">IF(EXACT(S39,I39)=TRUE,"Y","N")</f>
        <v>Y</v>
      </c>
      <c r="S39" t="s">
        <v>1295</v>
      </c>
      <c r="T39" t="str">
        <f t="shared" si="42"/>
        <v>Y</v>
      </c>
      <c r="U39" s="6" t="s">
        <v>1296</v>
      </c>
      <c r="V39" s="6"/>
      <c r="W39" s="6"/>
    </row>
    <row r="40" spans="1:23" x14ac:dyDescent="0.4">
      <c r="E40" s="7"/>
      <c r="F40" s="7"/>
      <c r="G40" s="37" t="s">
        <v>5444</v>
      </c>
      <c r="H40" s="5" t="str">
        <f t="shared" si="19"/>
        <v>broad</v>
      </c>
      <c r="I40" s="37" t="s">
        <v>5545</v>
      </c>
      <c r="J40" s="5" t="str">
        <f t="shared" si="20"/>
        <v/>
      </c>
      <c r="K40" s="37" t="s">
        <v>5431</v>
      </c>
      <c r="L40" s="5" t="str">
        <f t="shared" si="21"/>
        <v>sacked</v>
      </c>
      <c r="M40" s="27"/>
      <c r="N40" s="5" t="str">
        <f t="shared" si="2"/>
        <v/>
      </c>
      <c r="P40" s="6" t="str">
        <f t="shared" si="5"/>
        <v>N</v>
      </c>
      <c r="Q40" s="6" t="s">
        <v>1297</v>
      </c>
      <c r="R40" t="str">
        <f t="shared" ref="R40:T40" si="43">IF(EXACT(S40,I40)=TRUE,"Y","N")</f>
        <v>Y</v>
      </c>
      <c r="S40" t="s">
        <v>1298</v>
      </c>
      <c r="T40" t="str">
        <f t="shared" si="43"/>
        <v>N</v>
      </c>
      <c r="U40" s="6" t="s">
        <v>1299</v>
      </c>
      <c r="V40" s="6"/>
      <c r="W40" s="6"/>
    </row>
    <row r="41" spans="1:23" x14ac:dyDescent="0.4">
      <c r="A41" s="7"/>
      <c r="B41" s="7"/>
      <c r="C41" s="7"/>
      <c r="D41" s="7"/>
      <c r="E41" s="7"/>
      <c r="F41" s="7"/>
      <c r="G41" s="37" t="s">
        <v>5445</v>
      </c>
      <c r="H41" s="5" t="str">
        <f t="shared" si="19"/>
        <v>buried</v>
      </c>
      <c r="I41" s="37" t="s">
        <v>5546</v>
      </c>
      <c r="J41" s="5" t="str">
        <f t="shared" si="20"/>
        <v/>
      </c>
      <c r="K41" s="37" t="s">
        <v>5646</v>
      </c>
      <c r="L41" s="5" t="str">
        <f t="shared" si="21"/>
        <v/>
      </c>
      <c r="M41" s="27"/>
      <c r="N41" s="5" t="str">
        <f t="shared" si="2"/>
        <v/>
      </c>
      <c r="P41" s="6" t="str">
        <f t="shared" si="5"/>
        <v>N</v>
      </c>
      <c r="Q41" s="6" t="s">
        <v>1300</v>
      </c>
      <c r="R41" t="str">
        <f t="shared" ref="R41:T41" si="44">IF(EXACT(S41,I41)=TRUE,"Y","N")</f>
        <v>Y</v>
      </c>
      <c r="S41" t="s">
        <v>1301</v>
      </c>
      <c r="T41" t="str">
        <f t="shared" si="44"/>
        <v>Y</v>
      </c>
      <c r="U41" s="6" t="s">
        <v>1302</v>
      </c>
      <c r="V41" s="6"/>
      <c r="W41" s="6"/>
    </row>
    <row r="42" spans="1:23" x14ac:dyDescent="0.4">
      <c r="A42" s="7"/>
      <c r="B42" s="7"/>
      <c r="C42" s="7"/>
      <c r="D42" s="7"/>
      <c r="E42" s="7"/>
      <c r="F42" s="7"/>
      <c r="G42" s="37" t="s">
        <v>5446</v>
      </c>
      <c r="H42" s="5" t="str">
        <f t="shared" si="19"/>
        <v/>
      </c>
      <c r="I42" s="37" t="s">
        <v>5547</v>
      </c>
      <c r="J42" s="5" t="str">
        <f t="shared" si="20"/>
        <v>inaccurate</v>
      </c>
      <c r="K42" s="37" t="s">
        <v>5647</v>
      </c>
      <c r="L42" s="5" t="str">
        <f t="shared" si="21"/>
        <v>satisfactory</v>
      </c>
      <c r="M42" s="27"/>
      <c r="N42" s="5" t="str">
        <f t="shared" si="2"/>
        <v/>
      </c>
      <c r="P42" s="6" t="str">
        <f t="shared" si="5"/>
        <v>N</v>
      </c>
      <c r="Q42" s="6" t="s">
        <v>1303</v>
      </c>
      <c r="R42" t="str">
        <f t="shared" ref="R42:T42" si="45">IF(EXACT(S42,I42)=TRUE,"Y","N")</f>
        <v>N</v>
      </c>
      <c r="S42" t="s">
        <v>1304</v>
      </c>
      <c r="T42" t="str">
        <f t="shared" si="45"/>
        <v>N</v>
      </c>
      <c r="U42" s="6" t="s">
        <v>1305</v>
      </c>
      <c r="V42" s="6"/>
      <c r="W42" s="6"/>
    </row>
    <row r="43" spans="1:23" x14ac:dyDescent="0.4">
      <c r="A43" s="7"/>
      <c r="B43" s="7"/>
      <c r="C43" s="7"/>
      <c r="D43" s="7"/>
      <c r="E43" s="7"/>
      <c r="F43" s="7"/>
      <c r="G43" s="37" t="s">
        <v>5447</v>
      </c>
      <c r="H43" s="5" t="str">
        <f t="shared" si="19"/>
        <v>casual</v>
      </c>
      <c r="I43" s="37" t="s">
        <v>5548</v>
      </c>
      <c r="J43" s="5" t="str">
        <f t="shared" si="20"/>
        <v>inadequate</v>
      </c>
      <c r="K43" s="37" t="s">
        <v>5648</v>
      </c>
      <c r="L43" s="5" t="str">
        <f t="shared" si="21"/>
        <v>scarce</v>
      </c>
      <c r="M43" s="27"/>
      <c r="N43" s="5" t="str">
        <f t="shared" si="2"/>
        <v/>
      </c>
      <c r="P43" s="6" t="str">
        <f t="shared" si="5"/>
        <v>N</v>
      </c>
      <c r="Q43" s="6" t="s">
        <v>1306</v>
      </c>
      <c r="R43" t="str">
        <f t="shared" ref="R43:T43" si="46">IF(EXACT(S43,I43)=TRUE,"Y","N")</f>
        <v>N</v>
      </c>
      <c r="S43" t="s">
        <v>1307</v>
      </c>
      <c r="T43" t="str">
        <f t="shared" si="46"/>
        <v>N</v>
      </c>
      <c r="U43" s="6" t="s">
        <v>1308</v>
      </c>
      <c r="V43" s="6"/>
      <c r="W43" s="6"/>
    </row>
    <row r="44" spans="1:23" x14ac:dyDescent="0.4">
      <c r="A44" s="7"/>
      <c r="B44" s="7"/>
      <c r="C44" s="7"/>
      <c r="D44" s="7"/>
      <c r="E44" s="7"/>
      <c r="F44" s="7"/>
      <c r="G44" s="37" t="s">
        <v>5448</v>
      </c>
      <c r="H44" s="5" t="str">
        <f t="shared" si="19"/>
        <v/>
      </c>
      <c r="I44" s="37" t="s">
        <v>5549</v>
      </c>
      <c r="J44" s="5" t="str">
        <f t="shared" si="20"/>
        <v/>
      </c>
      <c r="K44" s="37" t="s">
        <v>5649</v>
      </c>
      <c r="L44" s="5" t="str">
        <f t="shared" si="21"/>
        <v/>
      </c>
      <c r="M44" s="27"/>
      <c r="N44" s="5" t="str">
        <f t="shared" si="2"/>
        <v/>
      </c>
      <c r="P44" s="6" t="str">
        <f t="shared" si="5"/>
        <v>N</v>
      </c>
      <c r="Q44" s="6" t="s">
        <v>1309</v>
      </c>
      <c r="R44" t="str">
        <f t="shared" ref="R44:T44" si="47">IF(EXACT(S44,I44)=TRUE,"Y","N")</f>
        <v>Y</v>
      </c>
      <c r="S44" t="s">
        <v>1310</v>
      </c>
      <c r="T44" t="str">
        <f t="shared" si="47"/>
        <v>Y</v>
      </c>
      <c r="U44" s="6" t="s">
        <v>1311</v>
      </c>
      <c r="V44" s="6"/>
      <c r="W44" s="6"/>
    </row>
    <row r="45" spans="1:23" x14ac:dyDescent="0.4">
      <c r="A45" s="7"/>
      <c r="B45" s="7"/>
      <c r="C45" s="7"/>
      <c r="D45" s="7"/>
      <c r="E45" s="7"/>
      <c r="F45" s="7"/>
      <c r="G45" s="37" t="s">
        <v>5449</v>
      </c>
      <c r="H45" s="5" t="str">
        <f t="shared" si="19"/>
        <v/>
      </c>
      <c r="I45" s="37" t="s">
        <v>5550</v>
      </c>
      <c r="J45" s="5" t="str">
        <f t="shared" si="20"/>
        <v>industrial</v>
      </c>
      <c r="K45" s="37" t="s">
        <v>5650</v>
      </c>
      <c r="L45" s="5" t="str">
        <f t="shared" si="21"/>
        <v/>
      </c>
      <c r="M45" s="27"/>
      <c r="N45" s="5" t="str">
        <f t="shared" si="2"/>
        <v/>
      </c>
      <c r="P45" s="6" t="str">
        <f t="shared" si="5"/>
        <v>N</v>
      </c>
      <c r="Q45" s="6" t="s">
        <v>1312</v>
      </c>
      <c r="R45" t="str">
        <f t="shared" ref="R45:T45" si="48">IF(EXACT(S45,I45)=TRUE,"Y","N")</f>
        <v>N</v>
      </c>
      <c r="S45" t="s">
        <v>1313</v>
      </c>
      <c r="T45" t="str">
        <f t="shared" si="48"/>
        <v>Y</v>
      </c>
      <c r="U45" s="6" t="s">
        <v>1314</v>
      </c>
      <c r="V45" s="6"/>
      <c r="W45" s="6"/>
    </row>
    <row r="46" spans="1:23" x14ac:dyDescent="0.4">
      <c r="A46" s="7"/>
      <c r="B46" s="7"/>
      <c r="C46" s="7"/>
      <c r="D46" s="7"/>
      <c r="E46" s="7"/>
      <c r="F46" s="7"/>
      <c r="G46" s="37" t="s">
        <v>5450</v>
      </c>
      <c r="H46" s="5" t="str">
        <f t="shared" si="19"/>
        <v/>
      </c>
      <c r="I46" s="37" t="s">
        <v>5551</v>
      </c>
      <c r="J46" s="5" t="str">
        <f t="shared" si="20"/>
        <v/>
      </c>
      <c r="K46" s="37" t="s">
        <v>5651</v>
      </c>
      <c r="L46" s="5" t="str">
        <f t="shared" si="21"/>
        <v/>
      </c>
      <c r="M46" s="27"/>
      <c r="N46" s="5" t="str">
        <f t="shared" si="2"/>
        <v/>
      </c>
      <c r="P46" s="6" t="str">
        <f t="shared" si="5"/>
        <v>N</v>
      </c>
      <c r="Q46" s="6" t="s">
        <v>1315</v>
      </c>
      <c r="R46" t="str">
        <f t="shared" ref="R46:T46" si="49">IF(EXACT(S46,I46)=TRUE,"Y","N")</f>
        <v>Y</v>
      </c>
      <c r="S46" t="s">
        <v>1316</v>
      </c>
      <c r="T46" t="str">
        <f t="shared" si="49"/>
        <v>Y</v>
      </c>
      <c r="U46" s="6" t="s">
        <v>1317</v>
      </c>
      <c r="V46" s="6"/>
      <c r="W46" s="6"/>
    </row>
    <row r="47" spans="1:23" x14ac:dyDescent="0.4">
      <c r="A47" s="7"/>
      <c r="B47" s="7"/>
      <c r="C47" s="7"/>
      <c r="D47" s="7"/>
      <c r="E47" s="7"/>
      <c r="F47" s="7"/>
      <c r="G47" s="37" t="s">
        <v>5451</v>
      </c>
      <c r="H47" s="5" t="str">
        <f t="shared" si="19"/>
        <v/>
      </c>
      <c r="I47" s="37" t="s">
        <v>5552</v>
      </c>
      <c r="J47" s="5" t="str">
        <f t="shared" si="20"/>
        <v/>
      </c>
      <c r="K47" s="37" t="s">
        <v>5652</v>
      </c>
      <c r="L47" s="5" t="str">
        <f t="shared" si="21"/>
        <v/>
      </c>
      <c r="M47" s="27"/>
      <c r="N47" s="5" t="str">
        <f t="shared" si="2"/>
        <v/>
      </c>
      <c r="P47" s="6" t="str">
        <f t="shared" si="5"/>
        <v>N</v>
      </c>
      <c r="Q47" s="6" t="s">
        <v>1318</v>
      </c>
      <c r="R47" t="str">
        <f t="shared" ref="R47:T47" si="50">IF(EXACT(S47,I47)=TRUE,"Y","N")</f>
        <v>Y</v>
      </c>
      <c r="S47" t="s">
        <v>1319</v>
      </c>
      <c r="T47" t="str">
        <f t="shared" si="50"/>
        <v>Y</v>
      </c>
      <c r="U47" s="6" t="s">
        <v>1320</v>
      </c>
      <c r="V47" s="6"/>
      <c r="W47" s="6"/>
    </row>
    <row r="48" spans="1:23" x14ac:dyDescent="0.4">
      <c r="A48" s="7"/>
      <c r="B48" s="7"/>
      <c r="C48" s="7"/>
      <c r="D48" s="7"/>
      <c r="E48" s="7"/>
      <c r="F48" s="7"/>
      <c r="G48" s="37" t="s">
        <v>5452</v>
      </c>
      <c r="H48" s="5" t="str">
        <f t="shared" si="19"/>
        <v>children's</v>
      </c>
      <c r="I48" s="37" t="s">
        <v>5553</v>
      </c>
      <c r="J48" s="5" t="str">
        <f t="shared" si="20"/>
        <v>inspiring</v>
      </c>
      <c r="K48" s="37" t="s">
        <v>5653</v>
      </c>
      <c r="L48" s="5" t="str">
        <f t="shared" si="21"/>
        <v>second-hand</v>
      </c>
      <c r="M48" s="27"/>
      <c r="N48" s="5" t="str">
        <f t="shared" si="2"/>
        <v/>
      </c>
      <c r="P48" s="6" t="str">
        <f t="shared" si="5"/>
        <v>N</v>
      </c>
      <c r="Q48" s="6" t="s">
        <v>1321</v>
      </c>
      <c r="R48" t="str">
        <f t="shared" ref="R48:T48" si="51">IF(EXACT(S48,I48)=TRUE,"Y","N")</f>
        <v>N</v>
      </c>
      <c r="S48" t="s">
        <v>1322</v>
      </c>
      <c r="T48" t="str">
        <f t="shared" si="51"/>
        <v>N</v>
      </c>
      <c r="U48" s="6" t="s">
        <v>1323</v>
      </c>
      <c r="V48" s="6"/>
      <c r="W48" s="6"/>
    </row>
    <row r="49" spans="1:23" x14ac:dyDescent="0.4">
      <c r="A49" s="7"/>
      <c r="B49" s="7"/>
      <c r="C49" s="7"/>
      <c r="D49" s="7"/>
      <c r="E49" s="7"/>
      <c r="F49" s="7"/>
      <c r="G49" s="37" t="s">
        <v>5453</v>
      </c>
      <c r="H49" s="5" t="str">
        <f t="shared" si="19"/>
        <v/>
      </c>
      <c r="I49" s="37" t="s">
        <v>5554</v>
      </c>
      <c r="J49" s="5" t="str">
        <f t="shared" si="20"/>
        <v/>
      </c>
      <c r="K49" s="37" t="s">
        <v>5654</v>
      </c>
      <c r="L49" s="5" t="str">
        <f t="shared" si="21"/>
        <v/>
      </c>
      <c r="M49" s="27"/>
      <c r="N49" s="5" t="str">
        <f t="shared" si="2"/>
        <v/>
      </c>
      <c r="P49" s="6" t="str">
        <f t="shared" si="5"/>
        <v>N</v>
      </c>
      <c r="Q49" s="6" t="s">
        <v>1324</v>
      </c>
      <c r="R49" t="str">
        <f t="shared" ref="R49:T49" si="52">IF(EXACT(S49,I49)=TRUE,"Y","N")</f>
        <v>Y</v>
      </c>
      <c r="S49" t="s">
        <v>1325</v>
      </c>
      <c r="T49" t="str">
        <f t="shared" si="52"/>
        <v>Y</v>
      </c>
      <c r="U49" s="6" t="s">
        <v>1326</v>
      </c>
      <c r="V49" s="6"/>
      <c r="W49" s="6"/>
    </row>
    <row r="50" spans="1:23" x14ac:dyDescent="0.4">
      <c r="A50" s="7"/>
      <c r="B50" s="7"/>
      <c r="C50" s="7"/>
      <c r="D50" s="7"/>
      <c r="E50" s="7"/>
      <c r="F50" s="7"/>
      <c r="G50" s="37" t="s">
        <v>5454</v>
      </c>
      <c r="H50" s="5" t="str">
        <f t="shared" si="19"/>
        <v/>
      </c>
      <c r="I50" s="37" t="s">
        <v>5555</v>
      </c>
      <c r="J50" s="5" t="str">
        <f t="shared" si="20"/>
        <v/>
      </c>
      <c r="K50" s="37" t="s">
        <v>5730</v>
      </c>
      <c r="L50" s="5" t="str">
        <f t="shared" si="21"/>
        <v/>
      </c>
      <c r="M50" s="27"/>
      <c r="N50" s="5" t="str">
        <f t="shared" si="2"/>
        <v/>
      </c>
      <c r="P50" s="6" t="str">
        <f t="shared" si="5"/>
        <v>N</v>
      </c>
      <c r="Q50" s="6" t="s">
        <v>1327</v>
      </c>
      <c r="R50" t="str">
        <f t="shared" ref="R50:T50" si="53">IF(EXACT(S50,I50)=TRUE,"Y","N")</f>
        <v>Y</v>
      </c>
      <c r="S50" t="s">
        <v>1328</v>
      </c>
      <c r="T50" t="str">
        <f t="shared" si="53"/>
        <v>Y</v>
      </c>
      <c r="U50" s="6" t="s">
        <v>1329</v>
      </c>
      <c r="V50" s="6"/>
      <c r="W50" s="6"/>
    </row>
    <row r="51" spans="1:23" x14ac:dyDescent="0.4">
      <c r="A51" s="7"/>
      <c r="B51" s="7"/>
      <c r="C51" s="7"/>
      <c r="D51" s="7"/>
      <c r="E51" s="7"/>
      <c r="F51" s="7"/>
      <c r="G51" s="37" t="s">
        <v>5455</v>
      </c>
      <c r="H51" s="5" t="str">
        <f t="shared" si="19"/>
        <v/>
      </c>
      <c r="I51" s="37" t="s">
        <v>5556</v>
      </c>
      <c r="J51" s="5" t="str">
        <f t="shared" si="20"/>
        <v/>
      </c>
      <c r="K51" s="37" t="s">
        <v>5655</v>
      </c>
      <c r="L51" s="5" t="str">
        <f t="shared" si="21"/>
        <v/>
      </c>
      <c r="M51" s="27"/>
      <c r="N51" s="5" t="str">
        <f t="shared" si="2"/>
        <v/>
      </c>
      <c r="P51" s="6" t="str">
        <f t="shared" si="5"/>
        <v>N</v>
      </c>
      <c r="Q51" s="6" t="s">
        <v>1330</v>
      </c>
      <c r="R51" t="str">
        <f t="shared" ref="R51:T51" si="54">IF(EXACT(S51,I51)=TRUE,"Y","N")</f>
        <v>Y</v>
      </c>
      <c r="S51" t="s">
        <v>1331</v>
      </c>
      <c r="T51" t="str">
        <f t="shared" si="54"/>
        <v>Y</v>
      </c>
      <c r="U51" s="6" t="s">
        <v>1332</v>
      </c>
      <c r="V51" s="6"/>
      <c r="W51" s="6"/>
    </row>
    <row r="52" spans="1:23" x14ac:dyDescent="0.4">
      <c r="A52" s="7"/>
      <c r="B52" s="7"/>
      <c r="C52" s="7"/>
      <c r="D52" s="7"/>
      <c r="E52" s="7"/>
      <c r="F52" s="7"/>
      <c r="G52" s="37" t="s">
        <v>5456</v>
      </c>
      <c r="H52" s="5" t="str">
        <f t="shared" si="19"/>
        <v/>
      </c>
      <c r="I52" s="37" t="s">
        <v>5557</v>
      </c>
      <c r="J52" s="5" t="str">
        <f t="shared" si="20"/>
        <v/>
      </c>
      <c r="K52" s="37" t="s">
        <v>5431</v>
      </c>
      <c r="L52" s="5" t="str">
        <f t="shared" si="21"/>
        <v>sensible</v>
      </c>
      <c r="M52" s="27"/>
      <c r="N52" s="5" t="str">
        <f t="shared" si="2"/>
        <v/>
      </c>
      <c r="P52" s="6" t="str">
        <f t="shared" si="5"/>
        <v>N</v>
      </c>
      <c r="Q52" s="6" t="s">
        <v>1333</v>
      </c>
      <c r="R52" t="str">
        <f t="shared" ref="R52:T52" si="55">IF(EXACT(S52,I52)=TRUE,"Y","N")</f>
        <v>Y</v>
      </c>
      <c r="S52" t="s">
        <v>1334</v>
      </c>
      <c r="T52" t="str">
        <f t="shared" si="55"/>
        <v>N</v>
      </c>
      <c r="U52" s="6" t="s">
        <v>1335</v>
      </c>
      <c r="V52" s="6"/>
      <c r="W52" s="6"/>
    </row>
    <row r="53" spans="1:23" x14ac:dyDescent="0.4">
      <c r="A53" s="7"/>
      <c r="B53" s="7"/>
      <c r="C53" s="7"/>
      <c r="D53" s="7"/>
      <c r="E53" s="7"/>
      <c r="F53" s="7"/>
      <c r="G53" s="37" t="s">
        <v>5457</v>
      </c>
      <c r="H53" s="5" t="str">
        <f t="shared" si="19"/>
        <v/>
      </c>
      <c r="I53" s="37" t="s">
        <v>5558</v>
      </c>
      <c r="J53" s="5" t="str">
        <f t="shared" si="20"/>
        <v/>
      </c>
      <c r="K53" s="37" t="s">
        <v>5431</v>
      </c>
      <c r="L53" s="5" t="str">
        <f t="shared" si="21"/>
        <v>serial</v>
      </c>
      <c r="M53" s="27"/>
      <c r="N53" s="5" t="str">
        <f t="shared" si="2"/>
        <v/>
      </c>
      <c r="P53" s="6" t="str">
        <f t="shared" si="5"/>
        <v>N</v>
      </c>
      <c r="Q53" s="6" t="s">
        <v>1336</v>
      </c>
      <c r="R53" t="str">
        <f t="shared" ref="R53:T53" si="56">IF(EXACT(S53,I53)=TRUE,"Y","N")</f>
        <v>Y</v>
      </c>
      <c r="S53" t="s">
        <v>1337</v>
      </c>
      <c r="T53" t="str">
        <f t="shared" si="56"/>
        <v>N</v>
      </c>
      <c r="U53" s="6" t="s">
        <v>1338</v>
      </c>
      <c r="V53" s="6"/>
      <c r="W53" s="6"/>
    </row>
    <row r="54" spans="1:23" x14ac:dyDescent="0.4">
      <c r="A54" s="7"/>
      <c r="B54" s="7"/>
      <c r="C54" s="7"/>
      <c r="D54" s="7"/>
      <c r="E54" s="7"/>
      <c r="F54" s="7"/>
      <c r="G54" s="37" t="s">
        <v>5458</v>
      </c>
      <c r="H54" s="5" t="str">
        <f t="shared" si="19"/>
        <v/>
      </c>
      <c r="I54" s="37" t="s">
        <v>5559</v>
      </c>
      <c r="J54" s="5" t="str">
        <f t="shared" si="20"/>
        <v/>
      </c>
      <c r="K54" s="37" t="s">
        <v>5656</v>
      </c>
      <c r="L54" s="5" t="str">
        <f t="shared" si="21"/>
        <v/>
      </c>
      <c r="M54" s="27"/>
      <c r="N54" s="5" t="str">
        <f t="shared" si="2"/>
        <v/>
      </c>
      <c r="P54" s="6" t="str">
        <f t="shared" si="5"/>
        <v>N</v>
      </c>
      <c r="Q54" s="6" t="s">
        <v>1339</v>
      </c>
      <c r="R54" t="str">
        <f t="shared" ref="R54:T54" si="57">IF(EXACT(S54,I54)=TRUE,"Y","N")</f>
        <v>Y</v>
      </c>
      <c r="S54" t="s">
        <v>1340</v>
      </c>
      <c r="T54" t="str">
        <f t="shared" si="57"/>
        <v>Y</v>
      </c>
      <c r="U54" s="6" t="s">
        <v>1341</v>
      </c>
      <c r="V54" s="6"/>
      <c r="W54" s="6"/>
    </row>
    <row r="55" spans="1:23" x14ac:dyDescent="0.4">
      <c r="A55" s="7"/>
      <c r="B55" s="7"/>
      <c r="C55" s="7"/>
      <c r="D55" s="7"/>
      <c r="E55" s="7"/>
      <c r="F55" s="7"/>
      <c r="G55" s="37" t="s">
        <v>5459</v>
      </c>
      <c r="H55" s="5" t="str">
        <f t="shared" si="19"/>
        <v/>
      </c>
      <c r="I55" s="37" t="s">
        <v>5560</v>
      </c>
      <c r="J55" s="5" t="str">
        <f t="shared" si="20"/>
        <v/>
      </c>
      <c r="K55" s="37" t="s">
        <v>5657</v>
      </c>
      <c r="L55" s="5" t="str">
        <f t="shared" si="21"/>
        <v>seven-screen</v>
      </c>
      <c r="M55" s="27"/>
      <c r="N55" s="5" t="str">
        <f t="shared" si="2"/>
        <v/>
      </c>
      <c r="P55" s="6" t="str">
        <f t="shared" si="5"/>
        <v>N</v>
      </c>
      <c r="Q55" s="6" t="s">
        <v>1342</v>
      </c>
      <c r="R55" t="str">
        <f t="shared" ref="R55:T55" si="58">IF(EXACT(S55,I55)=TRUE,"Y","N")</f>
        <v>Y</v>
      </c>
      <c r="S55" t="s">
        <v>1343</v>
      </c>
      <c r="T55" t="str">
        <f t="shared" si="58"/>
        <v>N</v>
      </c>
      <c r="U55" s="6" t="s">
        <v>1344</v>
      </c>
      <c r="V55" s="6"/>
      <c r="W55" s="6"/>
    </row>
    <row r="56" spans="1:23" x14ac:dyDescent="0.4">
      <c r="A56" s="7"/>
      <c r="B56" s="7"/>
      <c r="C56" s="7"/>
      <c r="D56" s="7"/>
      <c r="E56" s="7"/>
      <c r="F56" s="7"/>
      <c r="G56" s="37" t="s">
        <v>5460</v>
      </c>
      <c r="H56" s="5" t="str">
        <f t="shared" si="19"/>
        <v/>
      </c>
      <c r="I56" s="37" t="s">
        <v>5561</v>
      </c>
      <c r="J56" s="5" t="str">
        <f t="shared" si="20"/>
        <v>irregular</v>
      </c>
      <c r="K56" s="37" t="s">
        <v>5658</v>
      </c>
      <c r="L56" s="5" t="str">
        <f t="shared" si="21"/>
        <v/>
      </c>
      <c r="M56" s="27"/>
      <c r="N56" s="5" t="str">
        <f t="shared" si="2"/>
        <v/>
      </c>
      <c r="P56" s="6" t="str">
        <f t="shared" si="5"/>
        <v>N</v>
      </c>
      <c r="Q56" s="6" t="s">
        <v>1345</v>
      </c>
      <c r="R56" t="str">
        <f t="shared" ref="R56:T56" si="59">IF(EXACT(S56,I56)=TRUE,"Y","N")</f>
        <v>N</v>
      </c>
      <c r="S56" t="s">
        <v>1346</v>
      </c>
      <c r="T56" t="str">
        <f t="shared" si="59"/>
        <v>Y</v>
      </c>
      <c r="U56" s="6" t="s">
        <v>1347</v>
      </c>
      <c r="V56" s="6"/>
      <c r="W56" s="6"/>
    </row>
    <row r="57" spans="1:23" x14ac:dyDescent="0.4">
      <c r="A57" s="7"/>
      <c r="B57" s="7"/>
      <c r="C57" s="7"/>
      <c r="D57" s="7"/>
      <c r="E57" s="7"/>
      <c r="F57" s="7"/>
      <c r="G57" s="37" t="s">
        <v>5461</v>
      </c>
      <c r="H57" s="5" t="str">
        <f t="shared" si="19"/>
        <v/>
      </c>
      <c r="I57" s="37" t="s">
        <v>5562</v>
      </c>
      <c r="J57" s="5" t="str">
        <f t="shared" si="20"/>
        <v>irritable</v>
      </c>
      <c r="K57" s="37" t="s">
        <v>5659</v>
      </c>
      <c r="L57" s="5" t="str">
        <f t="shared" si="21"/>
        <v/>
      </c>
      <c r="M57" s="27"/>
      <c r="N57" s="5" t="str">
        <f t="shared" si="2"/>
        <v/>
      </c>
      <c r="P57" s="6" t="str">
        <f t="shared" si="5"/>
        <v>N</v>
      </c>
      <c r="Q57" s="6" t="s">
        <v>1348</v>
      </c>
      <c r="R57" t="str">
        <f t="shared" ref="R57:T57" si="60">IF(EXACT(S57,I57)=TRUE,"Y","N")</f>
        <v>N</v>
      </c>
      <c r="S57" t="s">
        <v>1349</v>
      </c>
      <c r="T57" t="str">
        <f t="shared" si="60"/>
        <v>Y</v>
      </c>
      <c r="U57" s="6" t="s">
        <v>1350</v>
      </c>
      <c r="V57" s="6"/>
      <c r="W57" s="6"/>
    </row>
    <row r="58" spans="1:23" x14ac:dyDescent="0.4">
      <c r="A58" s="7"/>
      <c r="B58" s="7"/>
      <c r="C58" s="7"/>
      <c r="D58" s="7"/>
      <c r="E58" s="7"/>
      <c r="F58" s="7"/>
      <c r="G58" s="37" t="s">
        <v>5462</v>
      </c>
      <c r="H58" s="5" t="str">
        <f t="shared" si="19"/>
        <v/>
      </c>
      <c r="I58" s="37" t="s">
        <v>5563</v>
      </c>
      <c r="J58" s="5" t="str">
        <f t="shared" si="20"/>
        <v/>
      </c>
      <c r="K58" s="37" t="s">
        <v>5660</v>
      </c>
      <c r="L58" s="5" t="str">
        <f t="shared" si="21"/>
        <v/>
      </c>
      <c r="M58" s="27"/>
      <c r="N58" s="5" t="str">
        <f t="shared" si="2"/>
        <v/>
      </c>
      <c r="P58" s="6" t="str">
        <f t="shared" si="5"/>
        <v>N</v>
      </c>
      <c r="Q58" s="6" t="s">
        <v>1351</v>
      </c>
      <c r="R58" t="str">
        <f t="shared" ref="R58:T58" si="61">IF(EXACT(S58,I58)=TRUE,"Y","N")</f>
        <v>Y</v>
      </c>
      <c r="S58" t="s">
        <v>1352</v>
      </c>
      <c r="T58" t="str">
        <f t="shared" si="61"/>
        <v>Y</v>
      </c>
      <c r="U58" s="6" t="s">
        <v>1353</v>
      </c>
      <c r="V58" s="6"/>
      <c r="W58" s="6"/>
    </row>
    <row r="59" spans="1:23" x14ac:dyDescent="0.4">
      <c r="A59" s="7"/>
      <c r="B59" s="7"/>
      <c r="C59" s="7"/>
      <c r="D59" s="7"/>
      <c r="E59" s="7"/>
      <c r="F59" s="7"/>
      <c r="G59" s="37" t="s">
        <v>5463</v>
      </c>
      <c r="H59" s="5" t="str">
        <f t="shared" si="19"/>
        <v/>
      </c>
      <c r="I59" s="37" t="s">
        <v>5564</v>
      </c>
      <c r="J59" s="5" t="str">
        <f t="shared" si="20"/>
        <v/>
      </c>
      <c r="K59" s="37" t="s">
        <v>5661</v>
      </c>
      <c r="L59" s="5" t="str">
        <f t="shared" si="21"/>
        <v/>
      </c>
      <c r="M59" s="27"/>
      <c r="N59" s="5" t="str">
        <f t="shared" si="2"/>
        <v/>
      </c>
      <c r="P59" s="6" t="str">
        <f t="shared" si="5"/>
        <v>N</v>
      </c>
      <c r="Q59" s="6" t="s">
        <v>1354</v>
      </c>
      <c r="R59" t="str">
        <f t="shared" ref="R59:T59" si="62">IF(EXACT(S59,I59)=TRUE,"Y","N")</f>
        <v>Y</v>
      </c>
      <c r="S59" t="s">
        <v>1355</v>
      </c>
      <c r="T59" t="str">
        <f t="shared" si="62"/>
        <v>Y</v>
      </c>
      <c r="U59" s="6" t="s">
        <v>1356</v>
      </c>
      <c r="V59" s="6"/>
      <c r="W59" s="6"/>
    </row>
    <row r="60" spans="1:23" x14ac:dyDescent="0.4">
      <c r="A60" s="7"/>
      <c r="B60" s="7"/>
      <c r="C60" s="7"/>
      <c r="D60" s="7"/>
      <c r="E60" s="7"/>
      <c r="F60" s="7"/>
      <c r="G60" s="37" t="s">
        <v>5464</v>
      </c>
      <c r="H60" s="5" t="str">
        <f t="shared" si="19"/>
        <v/>
      </c>
      <c r="I60" s="37" t="s">
        <v>5565</v>
      </c>
      <c r="J60" s="5" t="str">
        <f t="shared" si="20"/>
        <v/>
      </c>
      <c r="K60" s="37" t="s">
        <v>5662</v>
      </c>
      <c r="L60" s="5" t="str">
        <f t="shared" si="21"/>
        <v/>
      </c>
      <c r="M60" s="27"/>
      <c r="N60" s="5" t="str">
        <f t="shared" si="2"/>
        <v/>
      </c>
      <c r="P60" s="6" t="str">
        <f t="shared" si="5"/>
        <v>N</v>
      </c>
      <c r="Q60" s="6" t="s">
        <v>1357</v>
      </c>
      <c r="R60" t="str">
        <f t="shared" ref="R60:T60" si="63">IF(EXACT(S60,I60)=TRUE,"Y","N")</f>
        <v>Y</v>
      </c>
      <c r="S60" t="s">
        <v>1358</v>
      </c>
      <c r="T60" t="str">
        <f t="shared" si="63"/>
        <v>Y</v>
      </c>
      <c r="U60" s="6" t="s">
        <v>1359</v>
      </c>
      <c r="V60" s="6"/>
      <c r="W60" s="6"/>
    </row>
    <row r="61" spans="1:23" x14ac:dyDescent="0.4">
      <c r="A61" s="7"/>
      <c r="B61" s="7"/>
      <c r="C61" s="7"/>
      <c r="D61" s="7"/>
      <c r="E61" s="7"/>
      <c r="F61" s="7"/>
      <c r="G61" s="37" t="s">
        <v>5465</v>
      </c>
      <c r="H61" s="5" t="str">
        <f t="shared" si="19"/>
        <v/>
      </c>
      <c r="I61" s="37" t="s">
        <v>5566</v>
      </c>
      <c r="J61" s="5" t="str">
        <f t="shared" si="20"/>
        <v/>
      </c>
      <c r="K61" s="37" t="s">
        <v>5663</v>
      </c>
      <c r="L61" s="5" t="str">
        <f t="shared" si="21"/>
        <v/>
      </c>
      <c r="M61" s="27"/>
      <c r="N61" s="5" t="str">
        <f t="shared" si="2"/>
        <v/>
      </c>
      <c r="P61" s="6" t="str">
        <f t="shared" si="5"/>
        <v>N</v>
      </c>
      <c r="Q61" s="6" t="s">
        <v>1360</v>
      </c>
      <c r="R61" t="str">
        <f t="shared" ref="R61:T61" si="64">IF(EXACT(S61,I61)=TRUE,"Y","N")</f>
        <v>Y</v>
      </c>
      <c r="S61" t="s">
        <v>1361</v>
      </c>
      <c r="T61" t="str">
        <f t="shared" si="64"/>
        <v>Y</v>
      </c>
      <c r="U61" s="6" t="s">
        <v>1362</v>
      </c>
      <c r="V61" s="6"/>
      <c r="W61" s="6"/>
    </row>
    <row r="62" spans="1:23" x14ac:dyDescent="0.4">
      <c r="A62" s="7"/>
      <c r="B62" s="7"/>
      <c r="C62" s="7"/>
      <c r="D62" s="7"/>
      <c r="E62" s="7"/>
      <c r="F62" s="7"/>
      <c r="G62" s="37" t="s">
        <v>5466</v>
      </c>
      <c r="H62" s="5" t="str">
        <f t="shared" si="19"/>
        <v/>
      </c>
      <c r="I62" s="37" t="s">
        <v>5567</v>
      </c>
      <c r="J62" s="5" t="str">
        <f t="shared" si="20"/>
        <v/>
      </c>
      <c r="K62" s="37" t="s">
        <v>5664</v>
      </c>
      <c r="L62" s="5" t="str">
        <f t="shared" si="21"/>
        <v/>
      </c>
      <c r="M62" s="27"/>
      <c r="N62" s="5" t="str">
        <f t="shared" si="2"/>
        <v/>
      </c>
      <c r="P62" s="6" t="str">
        <f t="shared" si="5"/>
        <v>N</v>
      </c>
      <c r="Q62" s="6" t="s">
        <v>1363</v>
      </c>
      <c r="R62" t="str">
        <f t="shared" ref="R62:T62" si="65">IF(EXACT(S62,I62)=TRUE,"Y","N")</f>
        <v>Y</v>
      </c>
      <c r="S62" t="s">
        <v>1364</v>
      </c>
      <c r="T62" t="str">
        <f t="shared" si="65"/>
        <v>Y</v>
      </c>
      <c r="U62" s="6" t="s">
        <v>1365</v>
      </c>
      <c r="V62" s="6"/>
      <c r="W62" s="6"/>
    </row>
    <row r="63" spans="1:23" x14ac:dyDescent="0.4">
      <c r="A63" s="7"/>
      <c r="B63" s="7"/>
      <c r="C63" s="7"/>
      <c r="D63" s="7"/>
      <c r="E63" s="7"/>
      <c r="F63" s="7"/>
      <c r="G63" s="37" t="s">
        <v>5467</v>
      </c>
      <c r="H63" s="5" t="str">
        <f t="shared" si="19"/>
        <v>co-operative</v>
      </c>
      <c r="I63" s="37" t="s">
        <v>5568</v>
      </c>
      <c r="J63" s="5" t="str">
        <f t="shared" si="20"/>
        <v/>
      </c>
      <c r="K63" s="37" t="s">
        <v>5665</v>
      </c>
      <c r="L63" s="5" t="str">
        <f t="shared" si="21"/>
        <v/>
      </c>
      <c r="M63" s="27"/>
      <c r="N63" s="5" t="str">
        <f t="shared" si="2"/>
        <v/>
      </c>
      <c r="P63" s="6" t="str">
        <f t="shared" si="5"/>
        <v>N</v>
      </c>
      <c r="Q63" s="6" t="s">
        <v>1366</v>
      </c>
      <c r="R63" t="str">
        <f t="shared" ref="R63:T63" si="66">IF(EXACT(S63,I63)=TRUE,"Y","N")</f>
        <v>Y</v>
      </c>
      <c r="S63" t="s">
        <v>1367</v>
      </c>
      <c r="T63" t="str">
        <f t="shared" si="66"/>
        <v>Y</v>
      </c>
      <c r="U63" s="6" t="s">
        <v>1368</v>
      </c>
      <c r="V63" s="6"/>
      <c r="W63" s="6"/>
    </row>
    <row r="64" spans="1:23" x14ac:dyDescent="0.4">
      <c r="A64" s="7"/>
      <c r="B64" s="7"/>
      <c r="C64" s="7"/>
      <c r="D64" s="7"/>
      <c r="E64" s="7"/>
      <c r="F64" s="7"/>
      <c r="G64" s="37" t="s">
        <v>5468</v>
      </c>
      <c r="H64" s="5" t="str">
        <f t="shared" si="19"/>
        <v>corrupt</v>
      </c>
      <c r="I64" s="37" t="s">
        <v>5569</v>
      </c>
      <c r="J64" s="5" t="str">
        <f t="shared" si="20"/>
        <v/>
      </c>
      <c r="K64" s="37" t="s">
        <v>5666</v>
      </c>
      <c r="L64" s="5" t="str">
        <f t="shared" si="21"/>
        <v/>
      </c>
      <c r="M64" s="27"/>
      <c r="N64" s="5" t="str">
        <f t="shared" si="2"/>
        <v/>
      </c>
      <c r="P64" s="6" t="str">
        <f t="shared" si="5"/>
        <v>N</v>
      </c>
      <c r="Q64" s="6" t="s">
        <v>1369</v>
      </c>
      <c r="R64" t="str">
        <f t="shared" ref="R64:T64" si="67">IF(EXACT(S64,I64)=TRUE,"Y","N")</f>
        <v>Y</v>
      </c>
      <c r="S64" t="s">
        <v>1370</v>
      </c>
      <c r="T64" t="str">
        <f t="shared" si="67"/>
        <v>Y</v>
      </c>
      <c r="U64" s="6" t="s">
        <v>1371</v>
      </c>
      <c r="V64" s="6"/>
      <c r="W64" s="6"/>
    </row>
    <row r="65" spans="1:23" x14ac:dyDescent="0.4">
      <c r="A65" s="7"/>
      <c r="B65" s="7"/>
      <c r="C65" s="7"/>
      <c r="D65" s="7"/>
      <c r="E65" s="7"/>
      <c r="F65" s="7"/>
      <c r="G65" s="37" t="s">
        <v>5469</v>
      </c>
      <c r="H65" s="5" t="str">
        <f t="shared" si="19"/>
        <v/>
      </c>
      <c r="I65" s="37" t="s">
        <v>5570</v>
      </c>
      <c r="J65" s="5" t="str">
        <f t="shared" si="20"/>
        <v/>
      </c>
      <c r="K65" s="37" t="s">
        <v>5667</v>
      </c>
      <c r="L65" s="5" t="str">
        <f t="shared" si="21"/>
        <v/>
      </c>
      <c r="M65" s="27"/>
      <c r="N65" s="5" t="str">
        <f t="shared" si="2"/>
        <v/>
      </c>
      <c r="P65" s="6" t="str">
        <f t="shared" si="5"/>
        <v>N</v>
      </c>
      <c r="Q65" s="6" t="s">
        <v>1372</v>
      </c>
      <c r="R65" t="str">
        <f t="shared" ref="R65:T65" si="68">IF(EXACT(S65,I65)=TRUE,"Y","N")</f>
        <v>Y</v>
      </c>
      <c r="S65" t="s">
        <v>1373</v>
      </c>
      <c r="T65" t="str">
        <f t="shared" si="68"/>
        <v>Y</v>
      </c>
      <c r="U65" s="6" t="s">
        <v>1374</v>
      </c>
      <c r="V65" s="6"/>
      <c r="W65" s="6"/>
    </row>
    <row r="66" spans="1:23" x14ac:dyDescent="0.4">
      <c r="A66" s="7"/>
      <c r="B66" s="7"/>
      <c r="C66" s="7"/>
      <c r="D66" s="7"/>
      <c r="E66" s="7"/>
      <c r="F66" s="7"/>
      <c r="G66" s="37" t="s">
        <v>5470</v>
      </c>
      <c r="H66" s="5" t="str">
        <f t="shared" si="19"/>
        <v/>
      </c>
      <c r="I66" s="37" t="s">
        <v>5571</v>
      </c>
      <c r="J66" s="5" t="str">
        <f t="shared" si="20"/>
        <v>magnificent</v>
      </c>
      <c r="K66" s="37" t="s">
        <v>5668</v>
      </c>
      <c r="L66" s="5" t="str">
        <f t="shared" si="21"/>
        <v/>
      </c>
      <c r="M66" s="27"/>
      <c r="N66" s="5" t="str">
        <f t="shared" si="2"/>
        <v/>
      </c>
      <c r="P66" s="6" t="str">
        <f t="shared" si="5"/>
        <v>N</v>
      </c>
      <c r="Q66" s="6" t="s">
        <v>1066</v>
      </c>
      <c r="R66" t="str">
        <f t="shared" ref="R66:T66" si="69">IF(EXACT(S66,I66)=TRUE,"Y","N")</f>
        <v>N</v>
      </c>
      <c r="S66" t="s">
        <v>1375</v>
      </c>
      <c r="T66" t="str">
        <f t="shared" si="69"/>
        <v>Y</v>
      </c>
      <c r="U66" s="6" t="s">
        <v>1376</v>
      </c>
      <c r="V66" s="6"/>
      <c r="W66" s="6"/>
    </row>
    <row r="67" spans="1:23" x14ac:dyDescent="0.4">
      <c r="A67" s="7"/>
      <c r="B67" s="7"/>
      <c r="C67" s="7"/>
      <c r="D67" s="7"/>
      <c r="E67" s="7"/>
      <c r="F67" s="7"/>
      <c r="G67" s="37" t="s">
        <v>5471</v>
      </c>
      <c r="H67" s="5" t="str">
        <f t="shared" si="19"/>
        <v/>
      </c>
      <c r="I67" s="37" t="s">
        <v>5572</v>
      </c>
      <c r="J67" s="5" t="str">
        <f t="shared" si="20"/>
        <v/>
      </c>
      <c r="K67" s="37" t="s">
        <v>5669</v>
      </c>
      <c r="L67" s="5" t="str">
        <f t="shared" si="21"/>
        <v/>
      </c>
      <c r="M67" s="27"/>
      <c r="N67" s="5" t="str">
        <f t="shared" si="2"/>
        <v/>
      </c>
      <c r="P67" s="6" t="str">
        <f t="shared" si="5"/>
        <v>N</v>
      </c>
      <c r="Q67" s="6" t="s">
        <v>1377</v>
      </c>
      <c r="R67" t="str">
        <f t="shared" ref="R67:T67" si="70">IF(EXACT(S67,I67)=TRUE,"Y","N")</f>
        <v>Y</v>
      </c>
      <c r="S67" t="s">
        <v>1378</v>
      </c>
      <c r="T67" t="str">
        <f t="shared" si="70"/>
        <v>Y</v>
      </c>
      <c r="U67" s="6" t="s">
        <v>1379</v>
      </c>
      <c r="V67" s="6"/>
      <c r="W67" s="6"/>
    </row>
    <row r="68" spans="1:23" x14ac:dyDescent="0.4">
      <c r="A68" s="7"/>
      <c r="B68" s="7"/>
      <c r="C68" s="7"/>
      <c r="D68" s="7"/>
      <c r="E68" s="7"/>
      <c r="F68" s="7"/>
      <c r="G68" s="37" t="s">
        <v>5472</v>
      </c>
      <c r="H68" s="5" t="str">
        <f t="shared" si="19"/>
        <v>crucial</v>
      </c>
      <c r="I68" s="37" t="s">
        <v>5573</v>
      </c>
      <c r="J68" s="5" t="str">
        <f t="shared" si="20"/>
        <v/>
      </c>
      <c r="K68" s="37" t="s">
        <v>5670</v>
      </c>
      <c r="L68" s="5" t="str">
        <f t="shared" si="21"/>
        <v>smelly</v>
      </c>
      <c r="M68" s="27"/>
      <c r="N68" s="5" t="str">
        <f t="shared" ref="N68:N131" si="71">IF(IF(EXACT(W68,M68)=TRUE,"Y","N")="Y","",VLOOKUP(IF(EXACT(W68,M68)=TRUE,"Y","N"),V68:W68,2,FALSE))</f>
        <v/>
      </c>
      <c r="P68" s="6" t="str">
        <f t="shared" si="5"/>
        <v>N</v>
      </c>
      <c r="Q68" s="6" t="s">
        <v>1380</v>
      </c>
      <c r="R68" t="str">
        <f t="shared" ref="R68:T68" si="72">IF(EXACT(S68,I68)=TRUE,"Y","N")</f>
        <v>Y</v>
      </c>
      <c r="S68" t="s">
        <v>1381</v>
      </c>
      <c r="T68" t="str">
        <f t="shared" si="72"/>
        <v>N</v>
      </c>
      <c r="U68" s="6" t="s">
        <v>1382</v>
      </c>
      <c r="V68" s="6"/>
      <c r="W68" s="6"/>
    </row>
    <row r="69" spans="1:23" x14ac:dyDescent="0.4">
      <c r="A69" s="7"/>
      <c r="B69" s="7"/>
      <c r="C69" s="7"/>
      <c r="D69" s="7"/>
      <c r="E69" s="7"/>
      <c r="F69" s="7"/>
      <c r="G69" s="37" t="s">
        <v>5473</v>
      </c>
      <c r="H69" s="5" t="str">
        <f t="shared" si="19"/>
        <v>cultural</v>
      </c>
      <c r="I69" s="37" t="s">
        <v>5575</v>
      </c>
      <c r="J69" s="5" t="str">
        <f t="shared" si="20"/>
        <v/>
      </c>
      <c r="K69" s="37" t="s">
        <v>5671</v>
      </c>
      <c r="L69" s="5" t="str">
        <f t="shared" si="21"/>
        <v/>
      </c>
      <c r="M69" s="27"/>
      <c r="N69" s="5" t="str">
        <f t="shared" si="71"/>
        <v/>
      </c>
      <c r="P69" s="6" t="str">
        <f t="shared" si="5"/>
        <v>N</v>
      </c>
      <c r="Q69" s="6" t="s">
        <v>1383</v>
      </c>
      <c r="R69" t="str">
        <f t="shared" ref="R69:T69" si="73">IF(EXACT(S69,I69)=TRUE,"Y","N")</f>
        <v>Y</v>
      </c>
      <c r="S69" t="s">
        <v>5574</v>
      </c>
      <c r="T69" t="str">
        <f t="shared" si="73"/>
        <v>Y</v>
      </c>
      <c r="U69" s="6" t="s">
        <v>1384</v>
      </c>
      <c r="V69" s="6"/>
      <c r="W69" s="6"/>
    </row>
    <row r="70" spans="1:23" x14ac:dyDescent="0.4">
      <c r="A70" s="7"/>
      <c r="B70" s="7"/>
      <c r="C70" s="7"/>
      <c r="D70" s="7"/>
      <c r="E70" s="7"/>
      <c r="F70" s="7"/>
      <c r="G70" s="37" t="s">
        <v>5474</v>
      </c>
      <c r="H70" s="5" t="str">
        <f t="shared" si="19"/>
        <v/>
      </c>
      <c r="I70" s="37" t="s">
        <v>5576</v>
      </c>
      <c r="J70" s="5" t="str">
        <f t="shared" si="20"/>
        <v/>
      </c>
      <c r="K70" s="37" t="s">
        <v>5672</v>
      </c>
      <c r="L70" s="5" t="str">
        <f t="shared" si="21"/>
        <v/>
      </c>
      <c r="M70" s="27"/>
      <c r="N70" s="5" t="str">
        <f t="shared" si="71"/>
        <v/>
      </c>
      <c r="P70" s="6" t="str">
        <f t="shared" ref="P70:P106" si="74">IF(EXACT(Q70,W70)=TRUE,"Y","N")</f>
        <v>N</v>
      </c>
      <c r="Q70" s="6" t="s">
        <v>1385</v>
      </c>
      <c r="R70" t="str">
        <f t="shared" ref="R70:T70" si="75">IF(EXACT(S70,I70)=TRUE,"Y","N")</f>
        <v>Y</v>
      </c>
      <c r="S70" t="s">
        <v>1386</v>
      </c>
      <c r="T70" t="str">
        <f t="shared" si="75"/>
        <v>Y</v>
      </c>
      <c r="U70" s="6" t="s">
        <v>1387</v>
      </c>
      <c r="V70" s="6"/>
      <c r="W70" s="6"/>
    </row>
    <row r="71" spans="1:23" x14ac:dyDescent="0.4">
      <c r="A71" s="7"/>
      <c r="B71" s="7"/>
      <c r="C71" s="7"/>
      <c r="D71" s="7"/>
      <c r="E71" s="7"/>
      <c r="F71" s="7"/>
      <c r="G71" s="37" t="s">
        <v>5475</v>
      </c>
      <c r="H71" s="5" t="str">
        <f t="shared" si="19"/>
        <v/>
      </c>
      <c r="I71" s="37" t="s">
        <v>5577</v>
      </c>
      <c r="J71" s="5" t="str">
        <f t="shared" si="20"/>
        <v/>
      </c>
      <c r="K71" s="37" t="s">
        <v>5673</v>
      </c>
      <c r="L71" s="5" t="str">
        <f t="shared" si="21"/>
        <v/>
      </c>
      <c r="M71" s="27"/>
      <c r="N71" s="5" t="str">
        <f t="shared" si="71"/>
        <v/>
      </c>
      <c r="P71" s="6" t="str">
        <f t="shared" si="74"/>
        <v>N</v>
      </c>
      <c r="Q71" s="6" t="s">
        <v>1388</v>
      </c>
      <c r="R71" t="str">
        <f t="shared" ref="R71:T71" si="76">IF(EXACT(S71,I71)=TRUE,"Y","N")</f>
        <v>Y</v>
      </c>
      <c r="S71" t="s">
        <v>1389</v>
      </c>
      <c r="T71" t="str">
        <f t="shared" si="76"/>
        <v>Y</v>
      </c>
      <c r="U71" s="6" t="s">
        <v>1390</v>
      </c>
      <c r="V71" s="6"/>
      <c r="W71" s="6"/>
    </row>
    <row r="72" spans="1:23" x14ac:dyDescent="0.4">
      <c r="A72" s="7"/>
      <c r="B72" s="7"/>
      <c r="C72" s="7"/>
      <c r="D72" s="7"/>
      <c r="E72" s="7"/>
      <c r="F72" s="7"/>
      <c r="G72" s="37" t="s">
        <v>5476</v>
      </c>
      <c r="H72" s="5" t="str">
        <f t="shared" si="19"/>
        <v/>
      </c>
      <c r="I72" s="37" t="s">
        <v>5578</v>
      </c>
      <c r="J72" s="5" t="str">
        <f t="shared" si="20"/>
        <v/>
      </c>
      <c r="K72" s="37" t="s">
        <v>5674</v>
      </c>
      <c r="L72" s="5" t="str">
        <f t="shared" si="21"/>
        <v/>
      </c>
      <c r="M72" s="27"/>
      <c r="N72" s="5" t="str">
        <f t="shared" si="71"/>
        <v/>
      </c>
      <c r="P72" s="6" t="str">
        <f t="shared" si="74"/>
        <v>N</v>
      </c>
      <c r="Q72" s="6" t="s">
        <v>1391</v>
      </c>
      <c r="R72" t="str">
        <f t="shared" ref="R72:T72" si="77">IF(EXACT(S72,I72)=TRUE,"Y","N")</f>
        <v>Y</v>
      </c>
      <c r="S72" t="s">
        <v>1392</v>
      </c>
      <c r="T72" t="str">
        <f t="shared" si="77"/>
        <v>Y</v>
      </c>
      <c r="U72" s="6" t="s">
        <v>1393</v>
      </c>
      <c r="V72" s="6"/>
      <c r="W72" s="6"/>
    </row>
    <row r="73" spans="1:23" x14ac:dyDescent="0.4">
      <c r="A73" s="7"/>
      <c r="B73" s="7"/>
      <c r="C73" s="7"/>
      <c r="D73" s="7"/>
      <c r="E73" s="7"/>
      <c r="F73" s="7"/>
      <c r="G73" s="37" t="s">
        <v>5477</v>
      </c>
      <c r="H73" s="5" t="str">
        <f t="shared" si="19"/>
        <v>dairy</v>
      </c>
      <c r="I73" s="37" t="s">
        <v>5579</v>
      </c>
      <c r="J73" s="5" t="str">
        <f t="shared" si="20"/>
        <v>migratory</v>
      </c>
      <c r="K73" s="37" t="s">
        <v>5675</v>
      </c>
      <c r="L73" s="5" t="str">
        <f t="shared" si="21"/>
        <v>spacious</v>
      </c>
      <c r="M73" s="27"/>
      <c r="N73" s="5" t="str">
        <f t="shared" si="71"/>
        <v/>
      </c>
      <c r="P73" s="6" t="str">
        <f t="shared" si="74"/>
        <v>N</v>
      </c>
      <c r="Q73" s="6" t="s">
        <v>1394</v>
      </c>
      <c r="R73" t="str">
        <f t="shared" ref="R73:T73" si="78">IF(EXACT(S73,I73)=TRUE,"Y","N")</f>
        <v>N</v>
      </c>
      <c r="S73" t="s">
        <v>1395</v>
      </c>
      <c r="T73" t="str">
        <f t="shared" si="78"/>
        <v>N</v>
      </c>
      <c r="U73" s="6" t="s">
        <v>1396</v>
      </c>
      <c r="V73" s="6"/>
      <c r="W73" s="6"/>
    </row>
    <row r="74" spans="1:23" x14ac:dyDescent="0.4">
      <c r="A74" s="7"/>
      <c r="B74" s="7"/>
      <c r="C74" s="7"/>
      <c r="D74" s="7"/>
      <c r="E74" s="7"/>
      <c r="F74" s="7"/>
      <c r="G74" s="37" t="s">
        <v>5478</v>
      </c>
      <c r="H74" s="5" t="str">
        <f t="shared" si="19"/>
        <v/>
      </c>
      <c r="I74" s="37" t="s">
        <v>5580</v>
      </c>
      <c r="J74" s="5" t="str">
        <f t="shared" si="20"/>
        <v>military</v>
      </c>
      <c r="K74" s="37" t="s">
        <v>5676</v>
      </c>
      <c r="L74" s="5" t="str">
        <f t="shared" si="21"/>
        <v/>
      </c>
      <c r="M74" s="27"/>
      <c r="N74" s="5" t="str">
        <f t="shared" si="71"/>
        <v/>
      </c>
      <c r="P74" s="6" t="str">
        <f t="shared" si="74"/>
        <v>N</v>
      </c>
      <c r="Q74" s="6" t="s">
        <v>1397</v>
      </c>
      <c r="R74" t="str">
        <f t="shared" ref="R74:T74" si="79">IF(EXACT(S74,I74)=TRUE,"Y","N")</f>
        <v>N</v>
      </c>
      <c r="S74" t="s">
        <v>1398</v>
      </c>
      <c r="T74" t="str">
        <f t="shared" si="79"/>
        <v>Y</v>
      </c>
      <c r="U74" s="6" t="s">
        <v>1399</v>
      </c>
      <c r="V74" s="6"/>
      <c r="W74" s="6"/>
    </row>
    <row r="75" spans="1:23" x14ac:dyDescent="0.4">
      <c r="A75" s="7"/>
      <c r="B75" s="7"/>
      <c r="C75" s="7"/>
      <c r="D75" s="7"/>
      <c r="E75" s="7"/>
      <c r="F75" s="7"/>
      <c r="G75" s="37" t="s">
        <v>5479</v>
      </c>
      <c r="H75" s="5" t="str">
        <f t="shared" si="19"/>
        <v/>
      </c>
      <c r="I75" s="24"/>
      <c r="J75" s="5" t="str">
        <f t="shared" si="20"/>
        <v>miserable</v>
      </c>
      <c r="K75" s="37" t="s">
        <v>5677</v>
      </c>
      <c r="L75" s="5" t="str">
        <f t="shared" si="21"/>
        <v/>
      </c>
      <c r="M75" s="27"/>
      <c r="N75" s="5" t="str">
        <f t="shared" si="71"/>
        <v/>
      </c>
      <c r="P75" s="6" t="str">
        <f t="shared" si="74"/>
        <v>N</v>
      </c>
      <c r="Q75" s="6" t="s">
        <v>1400</v>
      </c>
      <c r="R75" t="str">
        <f t="shared" ref="R75:T75" si="80">IF(EXACT(S75,I75)=TRUE,"Y","N")</f>
        <v>N</v>
      </c>
      <c r="S75" t="s">
        <v>1401</v>
      </c>
      <c r="T75" t="str">
        <f t="shared" si="80"/>
        <v>Y</v>
      </c>
      <c r="U75" s="6" t="s">
        <v>1402</v>
      </c>
      <c r="V75" s="6"/>
      <c r="W75" s="6"/>
    </row>
    <row r="76" spans="1:23" x14ac:dyDescent="0.4">
      <c r="A76" s="7"/>
      <c r="B76" s="7"/>
      <c r="C76" s="7"/>
      <c r="D76" s="7"/>
      <c r="E76" s="7"/>
      <c r="F76" s="7"/>
      <c r="G76" s="37" t="s">
        <v>5480</v>
      </c>
      <c r="H76" s="5" t="str">
        <f t="shared" si="19"/>
        <v/>
      </c>
      <c r="I76" s="37" t="s">
        <v>5581</v>
      </c>
      <c r="J76" s="5" t="str">
        <f t="shared" si="20"/>
        <v/>
      </c>
      <c r="K76" s="37" t="s">
        <v>5678</v>
      </c>
      <c r="L76" s="5" t="str">
        <f t="shared" si="21"/>
        <v/>
      </c>
      <c r="M76" s="27"/>
      <c r="N76" s="5" t="str">
        <f t="shared" si="71"/>
        <v/>
      </c>
      <c r="P76" s="6" t="str">
        <f t="shared" si="74"/>
        <v>N</v>
      </c>
      <c r="Q76" s="43" t="s">
        <v>5480</v>
      </c>
      <c r="R76" t="str">
        <f t="shared" ref="R76:T76" si="81">IF(EXACT(S76,I76)=TRUE,"Y","N")</f>
        <v>Y</v>
      </c>
      <c r="S76" t="s">
        <v>1403</v>
      </c>
      <c r="T76" t="str">
        <f t="shared" si="81"/>
        <v>Y</v>
      </c>
      <c r="U76" s="6" t="s">
        <v>1404</v>
      </c>
      <c r="V76" s="6"/>
      <c r="W76" s="6"/>
    </row>
    <row r="77" spans="1:23" x14ac:dyDescent="0.4">
      <c r="A77" s="7"/>
      <c r="B77" s="7"/>
      <c r="C77" s="7"/>
      <c r="D77" s="7"/>
      <c r="E77" s="7"/>
      <c r="F77" s="7"/>
      <c r="G77" s="37" t="s">
        <v>5481</v>
      </c>
      <c r="H77" s="5" t="str">
        <f t="shared" si="19"/>
        <v/>
      </c>
      <c r="I77" s="37" t="s">
        <v>5582</v>
      </c>
      <c r="J77" s="5" t="str">
        <f t="shared" si="20"/>
        <v/>
      </c>
      <c r="K77" s="37" t="s">
        <v>5679</v>
      </c>
      <c r="L77" s="5" t="str">
        <f t="shared" si="21"/>
        <v>species</v>
      </c>
      <c r="M77" s="27"/>
      <c r="N77" s="5" t="str">
        <f t="shared" si="71"/>
        <v/>
      </c>
      <c r="P77" s="6" t="str">
        <f t="shared" si="74"/>
        <v>N</v>
      </c>
      <c r="Q77" s="6" t="s">
        <v>1405</v>
      </c>
      <c r="R77" t="str">
        <f t="shared" ref="R77:T77" si="82">IF(EXACT(S77,I77)=TRUE,"Y","N")</f>
        <v>Y</v>
      </c>
      <c r="S77" t="s">
        <v>1406</v>
      </c>
      <c r="T77" t="str">
        <f t="shared" si="82"/>
        <v>N</v>
      </c>
      <c r="U77" s="6" t="s">
        <v>1407</v>
      </c>
      <c r="V77" s="6"/>
      <c r="W77" s="6"/>
    </row>
    <row r="78" spans="1:23" x14ac:dyDescent="0.4">
      <c r="A78" s="7"/>
      <c r="B78" s="7"/>
      <c r="C78" s="7"/>
      <c r="D78" s="7"/>
      <c r="E78" s="7"/>
      <c r="F78" s="7"/>
      <c r="G78" s="37" t="s">
        <v>5482</v>
      </c>
      <c r="H78" s="5" t="str">
        <f t="shared" si="19"/>
        <v>detailed</v>
      </c>
      <c r="I78" s="37" t="s">
        <v>5583</v>
      </c>
      <c r="J78" s="5" t="str">
        <f t="shared" si="20"/>
        <v/>
      </c>
      <c r="K78" s="37" t="s">
        <v>5680</v>
      </c>
      <c r="L78" s="5" t="str">
        <f t="shared" si="21"/>
        <v/>
      </c>
      <c r="M78" s="27"/>
      <c r="N78" s="5" t="str">
        <f t="shared" si="71"/>
        <v/>
      </c>
      <c r="P78" s="6" t="str">
        <f t="shared" si="74"/>
        <v>N</v>
      </c>
      <c r="Q78" s="6" t="s">
        <v>1408</v>
      </c>
      <c r="R78" t="str">
        <f t="shared" ref="R78:T78" si="83">IF(EXACT(S78,I78)=TRUE,"Y","N")</f>
        <v>Y</v>
      </c>
      <c r="S78" t="s">
        <v>1409</v>
      </c>
      <c r="T78" t="str">
        <f t="shared" si="83"/>
        <v>Y</v>
      </c>
      <c r="U78" s="6" t="s">
        <v>1410</v>
      </c>
      <c r="V78" s="6"/>
      <c r="W78" s="6"/>
    </row>
    <row r="79" spans="1:23" x14ac:dyDescent="0.4">
      <c r="A79" s="7"/>
      <c r="B79" s="7"/>
      <c r="C79" s="7"/>
      <c r="D79" s="7"/>
      <c r="E79" s="7"/>
      <c r="F79" s="7"/>
      <c r="G79" s="37" t="s">
        <v>5483</v>
      </c>
      <c r="H79" s="5" t="str">
        <f t="shared" si="19"/>
        <v/>
      </c>
      <c r="I79" s="37" t="s">
        <v>5584</v>
      </c>
      <c r="J79" s="5" t="str">
        <f t="shared" si="20"/>
        <v xml:space="preserve">musical </v>
      </c>
      <c r="K79" s="37" t="s">
        <v>5681</v>
      </c>
      <c r="L79" s="5" t="str">
        <f t="shared" si="21"/>
        <v>spiral</v>
      </c>
      <c r="M79" s="27"/>
      <c r="N79" s="5" t="str">
        <f t="shared" si="71"/>
        <v/>
      </c>
      <c r="P79" s="6" t="str">
        <f t="shared" si="74"/>
        <v>N</v>
      </c>
      <c r="Q79" s="6" t="s">
        <v>1411</v>
      </c>
      <c r="R79" t="str">
        <f t="shared" ref="R79:T79" si="84">IF(EXACT(S79,I79)=TRUE,"Y","N")</f>
        <v>N</v>
      </c>
      <c r="S79" t="s">
        <v>1412</v>
      </c>
      <c r="T79" t="str">
        <f t="shared" si="84"/>
        <v>N</v>
      </c>
      <c r="U79" s="6" t="s">
        <v>1413</v>
      </c>
      <c r="V79" s="6"/>
      <c r="W79" s="6"/>
    </row>
    <row r="80" spans="1:23" x14ac:dyDescent="0.4">
      <c r="A80" s="7"/>
      <c r="B80" s="7"/>
      <c r="C80" s="7"/>
      <c r="D80" s="7"/>
      <c r="E80" s="7"/>
      <c r="F80" s="7"/>
      <c r="G80" s="37" t="s">
        <v>5484</v>
      </c>
      <c r="H80" s="5" t="str">
        <f t="shared" si="19"/>
        <v/>
      </c>
      <c r="I80" s="37" t="s">
        <v>5585</v>
      </c>
      <c r="J80" s="5" t="str">
        <f t="shared" si="20"/>
        <v/>
      </c>
      <c r="K80" s="37" t="s">
        <v>5682</v>
      </c>
      <c r="L80" s="5" t="str">
        <f t="shared" si="21"/>
        <v/>
      </c>
      <c r="M80" s="27"/>
      <c r="N80" s="5" t="str">
        <f t="shared" si="71"/>
        <v/>
      </c>
      <c r="P80" s="6" t="str">
        <f t="shared" si="74"/>
        <v>N</v>
      </c>
      <c r="Q80" s="6" t="s">
        <v>1414</v>
      </c>
      <c r="R80" t="str">
        <f t="shared" ref="R80:T80" si="85">IF(EXACT(S80,I80)=TRUE,"Y","N")</f>
        <v>Y</v>
      </c>
      <c r="S80" t="s">
        <v>1415</v>
      </c>
      <c r="T80" t="str">
        <f t="shared" si="85"/>
        <v>Y</v>
      </c>
      <c r="U80" s="6" t="s">
        <v>1416</v>
      </c>
      <c r="V80" s="6"/>
      <c r="W80" s="6"/>
    </row>
    <row r="81" spans="1:23" x14ac:dyDescent="0.4">
      <c r="A81" s="7"/>
      <c r="B81" s="7"/>
      <c r="C81" s="7"/>
      <c r="D81" s="7"/>
      <c r="E81" s="7"/>
      <c r="F81" s="7"/>
      <c r="G81" s="37" t="s">
        <v>5485</v>
      </c>
      <c r="H81" s="5" t="str">
        <f t="shared" si="19"/>
        <v/>
      </c>
      <c r="I81" s="37" t="s">
        <v>5586</v>
      </c>
      <c r="J81" s="5" t="str">
        <f t="shared" si="20"/>
        <v/>
      </c>
      <c r="K81" s="37" t="s">
        <v>5683</v>
      </c>
      <c r="L81" s="5" t="str">
        <f t="shared" si="21"/>
        <v/>
      </c>
      <c r="M81" s="27"/>
      <c r="N81" s="5" t="str">
        <f t="shared" si="71"/>
        <v/>
      </c>
      <c r="P81" s="6" t="str">
        <f t="shared" si="74"/>
        <v>N</v>
      </c>
      <c r="Q81" s="6" t="s">
        <v>1417</v>
      </c>
      <c r="R81" t="str">
        <f t="shared" ref="R81:T81" si="86">IF(EXACT(S81,I81)=TRUE,"Y","N")</f>
        <v>Y</v>
      </c>
      <c r="S81" t="s">
        <v>1418</v>
      </c>
      <c r="T81" t="str">
        <f t="shared" si="86"/>
        <v>Y</v>
      </c>
      <c r="U81" s="6" t="s">
        <v>1419</v>
      </c>
      <c r="V81" s="6"/>
      <c r="W81" s="6"/>
    </row>
    <row r="82" spans="1:23" x14ac:dyDescent="0.4">
      <c r="A82" s="7"/>
      <c r="B82" s="7"/>
      <c r="C82" s="7"/>
      <c r="D82" s="7"/>
      <c r="E82" s="7"/>
      <c r="F82" s="7"/>
      <c r="G82" s="37" t="s">
        <v>5486</v>
      </c>
      <c r="H82" s="5" t="str">
        <f t="shared" si="19"/>
        <v/>
      </c>
      <c r="I82" s="37" t="s">
        <v>5587</v>
      </c>
      <c r="J82" s="5" t="str">
        <f t="shared" si="20"/>
        <v>neighboring</v>
      </c>
      <c r="K82" s="37" t="s">
        <v>5684</v>
      </c>
      <c r="L82" s="5" t="str">
        <f t="shared" si="21"/>
        <v/>
      </c>
      <c r="M82" s="27"/>
      <c r="N82" s="5" t="str">
        <f t="shared" si="71"/>
        <v/>
      </c>
      <c r="P82" s="6" t="str">
        <f t="shared" si="74"/>
        <v>N</v>
      </c>
      <c r="Q82" s="6" t="s">
        <v>1420</v>
      </c>
      <c r="R82" t="str">
        <f t="shared" ref="R82:T82" si="87">IF(EXACT(S82,I82)=TRUE,"Y","N")</f>
        <v>N</v>
      </c>
      <c r="S82" t="s">
        <v>1421</v>
      </c>
      <c r="T82" t="str">
        <f t="shared" si="87"/>
        <v>Y</v>
      </c>
      <c r="U82" s="6" t="s">
        <v>1422</v>
      </c>
      <c r="V82" s="6"/>
      <c r="W82" s="6"/>
    </row>
    <row r="83" spans="1:23" x14ac:dyDescent="0.4">
      <c r="A83" s="7"/>
      <c r="B83" s="7"/>
      <c r="C83" s="7"/>
      <c r="D83" s="7"/>
      <c r="E83" s="7"/>
      <c r="F83" s="7"/>
      <c r="G83" s="37" t="s">
        <v>5487</v>
      </c>
      <c r="H83" s="5" t="str">
        <f t="shared" ref="H83:H114" si="88">IF(IF(EXACT(Q83,G83)=TRUE,"Y","N")="Y","",VLOOKUP(IF(EXACT(Q83,G83)=TRUE,"Y","N"),P83:Q83,2,FALSE))</f>
        <v>distinct</v>
      </c>
      <c r="I83" s="37" t="s">
        <v>5588</v>
      </c>
      <c r="J83" s="5" t="str">
        <f t="shared" ref="J83:J146" si="89">IF(IF(EXACT(S83,I83)=TRUE,"Y","N")="Y","",VLOOKUP(IF(EXACT(S83,I83)=TRUE,"Y","N"),R83:S83,2,FALSE))</f>
        <v/>
      </c>
      <c r="K83" s="37" t="s">
        <v>5685</v>
      </c>
      <c r="L83" s="5" t="str">
        <f t="shared" ref="L83:L146" si="90">IF(IF(EXACT(U83,K83)=TRUE,"Y","N")="Y","",VLOOKUP(IF(EXACT(U83,K83)=TRUE,"Y","N"),T83:U83,2,FALSE))</f>
        <v>strained</v>
      </c>
      <c r="M83" s="27"/>
      <c r="N83" s="5" t="str">
        <f t="shared" si="71"/>
        <v/>
      </c>
      <c r="P83" s="6" t="str">
        <f t="shared" si="74"/>
        <v>N</v>
      </c>
      <c r="Q83" s="6" t="s">
        <v>1423</v>
      </c>
      <c r="R83" t="str">
        <f t="shared" ref="R83:T83" si="91">IF(EXACT(S83,I83)=TRUE,"Y","N")</f>
        <v>Y</v>
      </c>
      <c r="S83" t="s">
        <v>1424</v>
      </c>
      <c r="T83" t="str">
        <f t="shared" si="91"/>
        <v>N</v>
      </c>
      <c r="U83" s="6" t="s">
        <v>1425</v>
      </c>
      <c r="V83" s="6"/>
      <c r="W83" s="6"/>
    </row>
    <row r="84" spans="1:23" x14ac:dyDescent="0.4">
      <c r="A84" s="7"/>
      <c r="B84" s="7"/>
      <c r="C84" s="7"/>
      <c r="D84" s="7"/>
      <c r="E84" s="7"/>
      <c r="F84" s="7"/>
      <c r="G84" s="37" t="s">
        <v>5488</v>
      </c>
      <c r="H84" s="5" t="str">
        <f t="shared" si="88"/>
        <v/>
      </c>
      <c r="I84" s="37" t="s">
        <v>5589</v>
      </c>
      <c r="J84" s="5" t="str">
        <f t="shared" si="89"/>
        <v>noble</v>
      </c>
      <c r="K84" s="37" t="s">
        <v>5686</v>
      </c>
      <c r="L84" s="5" t="str">
        <f t="shared" si="90"/>
        <v>stressful</v>
      </c>
      <c r="M84" s="27"/>
      <c r="N84" s="5" t="str">
        <f t="shared" si="71"/>
        <v/>
      </c>
      <c r="P84" s="6" t="str">
        <f t="shared" si="74"/>
        <v>N</v>
      </c>
      <c r="Q84" s="6" t="s">
        <v>1426</v>
      </c>
      <c r="R84" t="str">
        <f t="shared" ref="R84:T84" si="92">IF(EXACT(S84,I84)=TRUE,"Y","N")</f>
        <v>N</v>
      </c>
      <c r="S84" t="s">
        <v>1427</v>
      </c>
      <c r="T84" t="str">
        <f t="shared" si="92"/>
        <v>N</v>
      </c>
      <c r="U84" s="6" t="s">
        <v>1428</v>
      </c>
      <c r="V84" s="6"/>
      <c r="W84" s="6"/>
    </row>
    <row r="85" spans="1:23" x14ac:dyDescent="0.4">
      <c r="A85" s="7"/>
      <c r="B85" s="7"/>
      <c r="C85" s="7"/>
      <c r="D85" s="7"/>
      <c r="E85" s="7"/>
      <c r="F85" s="7"/>
      <c r="G85" s="37" t="s">
        <v>5489</v>
      </c>
      <c r="H85" s="5" t="str">
        <f t="shared" si="88"/>
        <v/>
      </c>
      <c r="I85" s="37" t="s">
        <v>5590</v>
      </c>
      <c r="J85" s="5" t="str">
        <f t="shared" si="89"/>
        <v/>
      </c>
      <c r="K85" s="37" t="s">
        <v>5731</v>
      </c>
      <c r="L85" s="5" t="str">
        <f t="shared" si="90"/>
        <v>stretching</v>
      </c>
      <c r="M85" s="27"/>
      <c r="N85" s="5" t="str">
        <f t="shared" si="71"/>
        <v/>
      </c>
      <c r="P85" s="6" t="str">
        <f t="shared" si="74"/>
        <v>N</v>
      </c>
      <c r="Q85" s="6" t="s">
        <v>1429</v>
      </c>
      <c r="R85" t="str">
        <f t="shared" ref="R85:T85" si="93">IF(EXACT(S85,I85)=TRUE,"Y","N")</f>
        <v>Y</v>
      </c>
      <c r="S85" t="s">
        <v>1430</v>
      </c>
      <c r="T85" t="str">
        <f t="shared" si="93"/>
        <v>N</v>
      </c>
      <c r="U85" s="6" t="s">
        <v>1431</v>
      </c>
      <c r="V85" s="6"/>
      <c r="W85" s="6"/>
    </row>
    <row r="86" spans="1:23" x14ac:dyDescent="0.4">
      <c r="A86" s="7"/>
      <c r="B86" s="7"/>
      <c r="C86" s="7"/>
      <c r="D86" s="7"/>
      <c r="E86" s="7"/>
      <c r="F86" s="7"/>
      <c r="G86" s="37" t="s">
        <v>5490</v>
      </c>
      <c r="H86" s="5" t="str">
        <f t="shared" si="88"/>
        <v/>
      </c>
      <c r="I86" s="37" t="s">
        <v>5591</v>
      </c>
      <c r="J86" s="5" t="str">
        <f t="shared" si="89"/>
        <v/>
      </c>
      <c r="K86" s="37" t="s">
        <v>5687</v>
      </c>
      <c r="L86" s="5" t="str">
        <f t="shared" si="90"/>
        <v/>
      </c>
      <c r="M86" s="27"/>
      <c r="N86" s="5" t="str">
        <f t="shared" si="71"/>
        <v/>
      </c>
      <c r="P86" s="6" t="str">
        <f t="shared" si="74"/>
        <v>N</v>
      </c>
      <c r="Q86" s="6" t="s">
        <v>1432</v>
      </c>
      <c r="R86" t="str">
        <f t="shared" ref="R86:T86" si="94">IF(EXACT(S86,I86)=TRUE,"Y","N")</f>
        <v>Y</v>
      </c>
      <c r="S86" t="s">
        <v>1433</v>
      </c>
      <c r="T86" t="str">
        <f t="shared" si="94"/>
        <v>Y</v>
      </c>
      <c r="U86" s="6" t="s">
        <v>1434</v>
      </c>
      <c r="V86" s="6"/>
      <c r="W86" s="6"/>
    </row>
    <row r="87" spans="1:23" x14ac:dyDescent="0.4">
      <c r="A87" s="7"/>
      <c r="B87" s="7"/>
      <c r="C87" s="7"/>
      <c r="D87" s="7"/>
      <c r="E87" s="7"/>
      <c r="F87" s="7"/>
      <c r="G87" s="37" t="s">
        <v>5431</v>
      </c>
      <c r="H87" s="5" t="str">
        <f t="shared" si="88"/>
        <v>economic</v>
      </c>
      <c r="I87" s="37" t="s">
        <v>5592</v>
      </c>
      <c r="J87" s="5" t="str">
        <f t="shared" si="89"/>
        <v/>
      </c>
      <c r="K87" s="37" t="s">
        <v>5688</v>
      </c>
      <c r="L87" s="5" t="str">
        <f t="shared" si="90"/>
        <v/>
      </c>
      <c r="M87" s="27"/>
      <c r="N87" s="5" t="str">
        <f t="shared" si="71"/>
        <v/>
      </c>
      <c r="P87" s="6" t="str">
        <f t="shared" si="74"/>
        <v>N</v>
      </c>
      <c r="Q87" s="6" t="s">
        <v>1435</v>
      </c>
      <c r="R87" t="str">
        <f t="shared" ref="R87:T87" si="95">IF(EXACT(S87,I87)=TRUE,"Y","N")</f>
        <v>Y</v>
      </c>
      <c r="S87" t="s">
        <v>1436</v>
      </c>
      <c r="T87" t="str">
        <f t="shared" si="95"/>
        <v>Y</v>
      </c>
      <c r="U87" s="6" t="s">
        <v>1437</v>
      </c>
      <c r="V87" s="6"/>
      <c r="W87" s="6"/>
    </row>
    <row r="88" spans="1:23" x14ac:dyDescent="0.4">
      <c r="A88" s="7"/>
      <c r="B88" s="7"/>
      <c r="C88" s="7"/>
      <c r="D88" s="7"/>
      <c r="E88" s="7"/>
      <c r="F88" s="7"/>
      <c r="G88" s="37" t="s">
        <v>5491</v>
      </c>
      <c r="H88" s="5" t="str">
        <f t="shared" si="88"/>
        <v/>
      </c>
      <c r="I88" s="37" t="s">
        <v>5593</v>
      </c>
      <c r="J88" s="5" t="str">
        <f t="shared" si="89"/>
        <v/>
      </c>
      <c r="K88" s="37" t="s">
        <v>5689</v>
      </c>
      <c r="L88" s="5" t="str">
        <f t="shared" si="90"/>
        <v/>
      </c>
      <c r="M88" s="27"/>
      <c r="N88" s="5" t="str">
        <f t="shared" si="71"/>
        <v/>
      </c>
      <c r="P88" s="6" t="str">
        <f t="shared" si="74"/>
        <v>N</v>
      </c>
      <c r="Q88" s="6" t="s">
        <v>1438</v>
      </c>
      <c r="R88" t="str">
        <f t="shared" ref="R88:T88" si="96">IF(EXACT(S88,I88)=TRUE,"Y","N")</f>
        <v>Y</v>
      </c>
      <c r="S88" t="s">
        <v>1439</v>
      </c>
      <c r="T88" t="str">
        <f t="shared" si="96"/>
        <v>Y</v>
      </c>
      <c r="U88" s="6" t="s">
        <v>1440</v>
      </c>
      <c r="V88" s="6"/>
      <c r="W88" s="6"/>
    </row>
    <row r="89" spans="1:23" x14ac:dyDescent="0.4">
      <c r="A89" s="7"/>
      <c r="B89" s="7"/>
      <c r="C89" s="7"/>
      <c r="D89" s="7"/>
      <c r="E89" s="7"/>
      <c r="F89" s="7"/>
      <c r="G89" s="37" t="s">
        <v>5492</v>
      </c>
      <c r="H89" s="5" t="str">
        <f t="shared" si="88"/>
        <v/>
      </c>
      <c r="I89" s="37" t="s">
        <v>5594</v>
      </c>
      <c r="J89" s="5" t="str">
        <f t="shared" si="89"/>
        <v/>
      </c>
      <c r="K89" s="37" t="s">
        <v>5690</v>
      </c>
      <c r="L89" s="5" t="str">
        <f t="shared" si="90"/>
        <v/>
      </c>
      <c r="M89" s="27"/>
      <c r="N89" s="5" t="str">
        <f t="shared" si="71"/>
        <v/>
      </c>
      <c r="P89" s="6" t="str">
        <f t="shared" si="74"/>
        <v>N</v>
      </c>
      <c r="Q89" s="6" t="s">
        <v>1441</v>
      </c>
      <c r="R89" t="str">
        <f t="shared" ref="R89:T89" si="97">IF(EXACT(S89,I89)=TRUE,"Y","N")</f>
        <v>Y</v>
      </c>
      <c r="S89" t="s">
        <v>286</v>
      </c>
      <c r="T89" t="str">
        <f t="shared" si="97"/>
        <v>Y</v>
      </c>
      <c r="U89" s="6" t="s">
        <v>1442</v>
      </c>
      <c r="V89" s="6"/>
      <c r="W89" s="6"/>
    </row>
    <row r="90" spans="1:23" x14ac:dyDescent="0.4">
      <c r="A90" s="7"/>
      <c r="B90" s="7"/>
      <c r="C90" s="7"/>
      <c r="D90" s="7"/>
      <c r="E90" s="7"/>
      <c r="F90" s="7"/>
      <c r="G90" s="37" t="s">
        <v>5493</v>
      </c>
      <c r="H90" s="5" t="str">
        <f t="shared" si="88"/>
        <v/>
      </c>
      <c r="I90" s="37" t="s">
        <v>5595</v>
      </c>
      <c r="J90" s="5" t="str">
        <f t="shared" si="89"/>
        <v/>
      </c>
      <c r="K90" s="37" t="s">
        <v>5691</v>
      </c>
      <c r="L90" s="5" t="str">
        <f t="shared" si="90"/>
        <v>sufficient</v>
      </c>
      <c r="M90" s="27"/>
      <c r="N90" s="5" t="str">
        <f t="shared" si="71"/>
        <v/>
      </c>
      <c r="P90" s="6" t="str">
        <f t="shared" si="74"/>
        <v>N</v>
      </c>
      <c r="Q90" s="6" t="s">
        <v>1443</v>
      </c>
      <c r="R90" t="str">
        <f t="shared" ref="R90:T90" si="98">IF(EXACT(S90,I90)=TRUE,"Y","N")</f>
        <v>Y</v>
      </c>
      <c r="S90" t="s">
        <v>1444</v>
      </c>
      <c r="T90" t="str">
        <f t="shared" si="98"/>
        <v>N</v>
      </c>
      <c r="U90" s="6" t="s">
        <v>1445</v>
      </c>
      <c r="V90" s="6"/>
      <c r="W90" s="6"/>
    </row>
    <row r="91" spans="1:23" x14ac:dyDescent="0.4">
      <c r="A91" s="7"/>
      <c r="B91" s="7"/>
      <c r="C91" s="7"/>
      <c r="D91" s="7"/>
      <c r="E91" s="7"/>
      <c r="F91" s="7"/>
      <c r="G91" s="37" t="s">
        <v>5494</v>
      </c>
      <c r="H91" s="5" t="str">
        <f t="shared" si="88"/>
        <v>elementary</v>
      </c>
      <c r="I91" s="37" t="s">
        <v>5596</v>
      </c>
      <c r="J91" s="5" t="str">
        <f t="shared" si="89"/>
        <v>Olympic</v>
      </c>
      <c r="K91" s="37" t="s">
        <v>5692</v>
      </c>
      <c r="L91" s="5" t="str">
        <f t="shared" si="90"/>
        <v>suitable</v>
      </c>
      <c r="M91" s="27"/>
      <c r="N91" s="5" t="str">
        <f t="shared" si="71"/>
        <v/>
      </c>
      <c r="P91" s="6" t="str">
        <f t="shared" si="74"/>
        <v>N</v>
      </c>
      <c r="Q91" s="6" t="s">
        <v>1446</v>
      </c>
      <c r="R91" t="str">
        <f t="shared" ref="R91:T91" si="99">IF(EXACT(S91,I91)=TRUE,"Y","N")</f>
        <v>N</v>
      </c>
      <c r="S91" t="s">
        <v>1447</v>
      </c>
      <c r="T91" t="str">
        <f t="shared" si="99"/>
        <v>N</v>
      </c>
      <c r="U91" s="6" t="s">
        <v>1448</v>
      </c>
      <c r="V91" s="6"/>
      <c r="W91" s="6"/>
    </row>
    <row r="92" spans="1:23" x14ac:dyDescent="0.4">
      <c r="A92" s="7"/>
      <c r="B92" s="7"/>
      <c r="C92" s="7"/>
      <c r="D92" s="7"/>
      <c r="E92" s="7"/>
      <c r="F92" s="7"/>
      <c r="G92" s="37" t="s">
        <v>5495</v>
      </c>
      <c r="H92" s="5" t="str">
        <f t="shared" si="88"/>
        <v/>
      </c>
      <c r="I92" s="37" t="s">
        <v>5597</v>
      </c>
      <c r="J92" s="5" t="str">
        <f t="shared" si="89"/>
        <v/>
      </c>
      <c r="K92" s="37" t="s">
        <v>5693</v>
      </c>
      <c r="L92" s="5" t="str">
        <f t="shared" si="90"/>
        <v/>
      </c>
      <c r="M92" s="27"/>
      <c r="N92" s="5" t="str">
        <f t="shared" si="71"/>
        <v/>
      </c>
      <c r="P92" s="6" t="str">
        <f t="shared" si="74"/>
        <v>N</v>
      </c>
      <c r="Q92" s="6" t="s">
        <v>1449</v>
      </c>
      <c r="R92" t="str">
        <f t="shared" ref="R92:T92" si="100">IF(EXACT(S92,I92)=TRUE,"Y","N")</f>
        <v>Y</v>
      </c>
      <c r="S92" t="s">
        <v>1450</v>
      </c>
      <c r="T92" t="str">
        <f t="shared" si="100"/>
        <v>Y</v>
      </c>
      <c r="U92" s="6" t="s">
        <v>1451</v>
      </c>
      <c r="V92" s="6"/>
      <c r="W92" s="6"/>
    </row>
    <row r="93" spans="1:23" x14ac:dyDescent="0.4">
      <c r="A93" s="7"/>
      <c r="B93" s="7"/>
      <c r="C93" s="7"/>
      <c r="D93" s="7"/>
      <c r="E93" s="7"/>
      <c r="F93" s="7"/>
      <c r="G93" s="37" t="s">
        <v>5496</v>
      </c>
      <c r="H93" s="5" t="str">
        <f t="shared" si="88"/>
        <v/>
      </c>
      <c r="I93" s="37" t="s">
        <v>5598</v>
      </c>
      <c r="J93" s="5" t="str">
        <f t="shared" si="89"/>
        <v/>
      </c>
      <c r="K93" s="37" t="s">
        <v>5694</v>
      </c>
      <c r="L93" s="5" t="str">
        <f t="shared" si="90"/>
        <v/>
      </c>
      <c r="M93" s="27"/>
      <c r="N93" s="5" t="str">
        <f t="shared" si="71"/>
        <v/>
      </c>
      <c r="P93" s="6" t="str">
        <f t="shared" si="74"/>
        <v>N</v>
      </c>
      <c r="Q93" s="6" t="s">
        <v>1452</v>
      </c>
      <c r="R93" t="str">
        <f t="shared" ref="R93:T93" si="101">IF(EXACT(S93,I93)=TRUE,"Y","N")</f>
        <v>Y</v>
      </c>
      <c r="S93" t="s">
        <v>1453</v>
      </c>
      <c r="T93" t="str">
        <f t="shared" si="101"/>
        <v>Y</v>
      </c>
      <c r="U93" s="6" t="s">
        <v>1454</v>
      </c>
      <c r="V93" s="6"/>
      <c r="W93" s="6"/>
    </row>
    <row r="94" spans="1:23" x14ac:dyDescent="0.4">
      <c r="A94" s="7"/>
      <c r="B94" s="7"/>
      <c r="C94" s="7"/>
      <c r="D94" s="7"/>
      <c r="E94" s="7"/>
      <c r="F94" s="7"/>
      <c r="G94" s="37" t="s">
        <v>5497</v>
      </c>
      <c r="H94" s="5" t="str">
        <f t="shared" si="88"/>
        <v>enthusiastic</v>
      </c>
      <c r="I94" s="37" t="s">
        <v>5599</v>
      </c>
      <c r="J94" s="5" t="str">
        <f t="shared" si="89"/>
        <v/>
      </c>
      <c r="K94" s="37" t="s">
        <v>5431</v>
      </c>
      <c r="L94" s="5" t="str">
        <f t="shared" si="90"/>
        <v>systematic</v>
      </c>
      <c r="M94" s="27"/>
      <c r="N94" s="5" t="str">
        <f t="shared" si="71"/>
        <v/>
      </c>
      <c r="P94" s="6" t="str">
        <f t="shared" si="74"/>
        <v>N</v>
      </c>
      <c r="Q94" s="6" t="s">
        <v>1455</v>
      </c>
      <c r="R94" t="str">
        <f t="shared" ref="R94:T94" si="102">IF(EXACT(S94,I94)=TRUE,"Y","N")</f>
        <v>Y</v>
      </c>
      <c r="S94" t="s">
        <v>1456</v>
      </c>
      <c r="T94" t="str">
        <f t="shared" si="102"/>
        <v>N</v>
      </c>
      <c r="U94" s="6" t="s">
        <v>1457</v>
      </c>
      <c r="V94" s="6"/>
      <c r="W94" s="6"/>
    </row>
    <row r="95" spans="1:23" x14ac:dyDescent="0.4">
      <c r="A95" s="7"/>
      <c r="B95" s="7"/>
      <c r="C95" s="7"/>
      <c r="D95" s="7"/>
      <c r="E95" s="7"/>
      <c r="F95" s="7"/>
      <c r="G95" s="37" t="s">
        <v>5498</v>
      </c>
      <c r="H95" s="5" t="str">
        <f t="shared" si="88"/>
        <v/>
      </c>
      <c r="I95" s="37" t="s">
        <v>5600</v>
      </c>
      <c r="J95" s="5" t="str">
        <f t="shared" si="89"/>
        <v/>
      </c>
      <c r="K95" s="37" t="s">
        <v>5695</v>
      </c>
      <c r="L95" s="5" t="str">
        <f t="shared" si="90"/>
        <v/>
      </c>
      <c r="M95" s="27"/>
      <c r="N95" s="5" t="str">
        <f t="shared" si="71"/>
        <v/>
      </c>
      <c r="P95" s="6" t="str">
        <f t="shared" si="74"/>
        <v>N</v>
      </c>
      <c r="Q95" s="6" t="s">
        <v>1458</v>
      </c>
      <c r="R95" t="str">
        <f t="shared" ref="R95:T95" si="103">IF(EXACT(S95,I95)=TRUE,"Y","N")</f>
        <v>Y</v>
      </c>
      <c r="S95" t="s">
        <v>1459</v>
      </c>
      <c r="T95" t="str">
        <f t="shared" si="103"/>
        <v>Y</v>
      </c>
      <c r="U95" s="6" t="s">
        <v>1460</v>
      </c>
      <c r="V95" s="6"/>
      <c r="W95" s="6"/>
    </row>
    <row r="96" spans="1:23" x14ac:dyDescent="0.4">
      <c r="A96" s="7"/>
      <c r="B96" s="7"/>
      <c r="C96" s="7"/>
      <c r="D96" s="7"/>
      <c r="E96" s="7"/>
      <c r="F96" s="7"/>
      <c r="G96" s="37" t="s">
        <v>5499</v>
      </c>
      <c r="H96" s="5" t="str">
        <f t="shared" si="88"/>
        <v/>
      </c>
      <c r="I96" s="37" t="s">
        <v>5601</v>
      </c>
      <c r="J96" s="5" t="str">
        <f t="shared" si="89"/>
        <v/>
      </c>
      <c r="K96" s="37" t="s">
        <v>5696</v>
      </c>
      <c r="L96" s="5" t="str">
        <f t="shared" si="90"/>
        <v>theoretical</v>
      </c>
      <c r="M96" s="27"/>
      <c r="N96" s="5" t="str">
        <f t="shared" si="71"/>
        <v/>
      </c>
      <c r="P96" s="6" t="str">
        <f t="shared" si="74"/>
        <v>N</v>
      </c>
      <c r="Q96" s="6" t="s">
        <v>1461</v>
      </c>
      <c r="R96" t="str">
        <f t="shared" ref="R96:T96" si="104">IF(EXACT(S96,I96)=TRUE,"Y","N")</f>
        <v>Y</v>
      </c>
      <c r="S96" t="s">
        <v>1462</v>
      </c>
      <c r="T96" t="str">
        <f t="shared" si="104"/>
        <v>N</v>
      </c>
      <c r="U96" s="6" t="s">
        <v>1463</v>
      </c>
      <c r="V96" s="6"/>
      <c r="W96" s="6"/>
    </row>
    <row r="97" spans="1:23" x14ac:dyDescent="0.4">
      <c r="A97" s="7"/>
      <c r="B97" s="7"/>
      <c r="C97" s="7"/>
      <c r="D97" s="7"/>
      <c r="E97" s="7"/>
      <c r="F97" s="7"/>
      <c r="G97" s="37" t="s">
        <v>5500</v>
      </c>
      <c r="H97" s="5" t="str">
        <f t="shared" si="88"/>
        <v/>
      </c>
      <c r="I97" s="37" t="s">
        <v>5602</v>
      </c>
      <c r="J97" s="5" t="str">
        <f t="shared" si="89"/>
        <v/>
      </c>
      <c r="K97" s="37" t="s">
        <v>5697</v>
      </c>
      <c r="L97" s="5" t="str">
        <f t="shared" si="90"/>
        <v/>
      </c>
      <c r="M97" s="27"/>
      <c r="N97" s="5" t="str">
        <f t="shared" si="71"/>
        <v/>
      </c>
      <c r="P97" s="6" t="str">
        <f t="shared" si="74"/>
        <v>N</v>
      </c>
      <c r="Q97" s="6" t="s">
        <v>1464</v>
      </c>
      <c r="R97" t="str">
        <f t="shared" ref="R97:T97" si="105">IF(EXACT(S97,I97)=TRUE,"Y","N")</f>
        <v>Y</v>
      </c>
      <c r="S97" t="s">
        <v>1465</v>
      </c>
      <c r="T97" t="str">
        <f t="shared" si="105"/>
        <v>Y</v>
      </c>
      <c r="U97" s="6" t="s">
        <v>1466</v>
      </c>
      <c r="V97" s="6"/>
      <c r="W97" s="6"/>
    </row>
    <row r="98" spans="1:23" x14ac:dyDescent="0.4">
      <c r="A98" s="7"/>
      <c r="B98" s="7"/>
      <c r="C98" s="7"/>
      <c r="D98" s="7"/>
      <c r="E98" s="7"/>
      <c r="F98" s="7"/>
      <c r="G98" s="37" t="s">
        <v>5501</v>
      </c>
      <c r="H98" s="5" t="str">
        <f t="shared" si="88"/>
        <v/>
      </c>
      <c r="I98" s="37" t="s">
        <v>5603</v>
      </c>
      <c r="J98" s="5" t="str">
        <f t="shared" si="89"/>
        <v>overseas</v>
      </c>
      <c r="K98" s="37" t="s">
        <v>5698</v>
      </c>
      <c r="L98" s="5" t="str">
        <f t="shared" si="90"/>
        <v/>
      </c>
      <c r="M98" s="27"/>
      <c r="N98" s="5" t="str">
        <f t="shared" si="71"/>
        <v/>
      </c>
      <c r="P98" s="6" t="str">
        <f t="shared" si="74"/>
        <v>N</v>
      </c>
      <c r="Q98" s="6" t="s">
        <v>1467</v>
      </c>
      <c r="R98" t="str">
        <f t="shared" ref="R98:T98" si="106">IF(EXACT(S98,I98)=TRUE,"Y","N")</f>
        <v>N</v>
      </c>
      <c r="S98" t="s">
        <v>5742</v>
      </c>
      <c r="T98" t="str">
        <f t="shared" si="106"/>
        <v>Y</v>
      </c>
      <c r="U98" s="6" t="s">
        <v>1468</v>
      </c>
      <c r="V98" s="6"/>
      <c r="W98" s="6"/>
    </row>
    <row r="99" spans="1:23" x14ac:dyDescent="0.4">
      <c r="A99" s="7"/>
      <c r="B99" s="7"/>
      <c r="C99" s="7"/>
      <c r="D99" s="7"/>
      <c r="E99" s="7"/>
      <c r="F99" s="7"/>
      <c r="G99" s="37" t="s">
        <v>5502</v>
      </c>
      <c r="H99" s="5" t="str">
        <f t="shared" si="88"/>
        <v>existent</v>
      </c>
      <c r="I99" s="37" t="s">
        <v>5604</v>
      </c>
      <c r="J99" s="5" t="str">
        <f t="shared" si="89"/>
        <v>parental</v>
      </c>
      <c r="K99" s="37" t="s">
        <v>5699</v>
      </c>
      <c r="L99" s="5" t="str">
        <f t="shared" si="90"/>
        <v/>
      </c>
      <c r="M99" s="27"/>
      <c r="N99" s="5" t="str">
        <f t="shared" si="71"/>
        <v/>
      </c>
      <c r="P99" s="6" t="str">
        <f t="shared" si="74"/>
        <v>N</v>
      </c>
      <c r="Q99" s="6" t="s">
        <v>1469</v>
      </c>
      <c r="R99" t="str">
        <f t="shared" ref="R99:T99" si="107">IF(EXACT(S99,I99)=TRUE,"Y","N")</f>
        <v>N</v>
      </c>
      <c r="S99" t="s">
        <v>1470</v>
      </c>
      <c r="T99" t="str">
        <f t="shared" si="107"/>
        <v>Y</v>
      </c>
      <c r="U99" s="6" t="s">
        <v>1471</v>
      </c>
      <c r="V99" s="6"/>
      <c r="W99" s="6"/>
    </row>
    <row r="100" spans="1:23" x14ac:dyDescent="0.4">
      <c r="A100" s="7"/>
      <c r="B100" s="7"/>
      <c r="C100" s="7"/>
      <c r="D100" s="7"/>
      <c r="E100" s="7"/>
      <c r="F100" s="7"/>
      <c r="G100" s="37" t="s">
        <v>5503</v>
      </c>
      <c r="H100" s="5" t="str">
        <f t="shared" si="88"/>
        <v/>
      </c>
      <c r="I100" s="37" t="s">
        <v>5605</v>
      </c>
      <c r="J100" s="5" t="str">
        <f t="shared" si="89"/>
        <v/>
      </c>
      <c r="K100" s="37" t="s">
        <v>5431</v>
      </c>
      <c r="L100" s="5" t="str">
        <f t="shared" si="90"/>
        <v>unanimous</v>
      </c>
      <c r="M100" s="27"/>
      <c r="N100" s="5" t="str">
        <f t="shared" si="71"/>
        <v/>
      </c>
      <c r="P100" s="6" t="str">
        <f t="shared" si="74"/>
        <v>N</v>
      </c>
      <c r="Q100" s="6" t="s">
        <v>1472</v>
      </c>
      <c r="R100" t="str">
        <f t="shared" ref="R100:T100" si="108">IF(EXACT(S100,I100)=TRUE,"Y","N")</f>
        <v>Y</v>
      </c>
      <c r="S100" t="s">
        <v>1473</v>
      </c>
      <c r="T100" t="str">
        <f t="shared" si="108"/>
        <v>N</v>
      </c>
      <c r="U100" s="6" t="s">
        <v>1474</v>
      </c>
      <c r="V100" s="6"/>
      <c r="W100" s="6"/>
    </row>
    <row r="101" spans="1:23" x14ac:dyDescent="0.4">
      <c r="A101" s="7"/>
      <c r="B101" s="7"/>
      <c r="C101" s="7"/>
      <c r="D101" s="7"/>
      <c r="E101" s="7"/>
      <c r="F101" s="7"/>
      <c r="G101" s="37" t="s">
        <v>5504</v>
      </c>
      <c r="H101" s="5" t="str">
        <f t="shared" si="88"/>
        <v/>
      </c>
      <c r="I101" s="37" t="s">
        <v>5606</v>
      </c>
      <c r="J101" s="5" t="str">
        <f t="shared" si="89"/>
        <v/>
      </c>
      <c r="K101" s="37" t="s">
        <v>5700</v>
      </c>
      <c r="L101" s="5" t="str">
        <f t="shared" si="90"/>
        <v>uncomfortable</v>
      </c>
      <c r="M101" s="27"/>
      <c r="N101" s="5" t="str">
        <f t="shared" si="71"/>
        <v/>
      </c>
      <c r="P101" s="6" t="str">
        <f t="shared" si="74"/>
        <v>N</v>
      </c>
      <c r="Q101" s="6" t="s">
        <v>1475</v>
      </c>
      <c r="R101" t="str">
        <f t="shared" ref="R101:T101" si="109">IF(EXACT(S101,I101)=TRUE,"Y","N")</f>
        <v>Y</v>
      </c>
      <c r="S101" t="s">
        <v>1476</v>
      </c>
      <c r="T101" t="str">
        <f t="shared" si="109"/>
        <v>N</v>
      </c>
      <c r="U101" s="6" t="s">
        <v>1477</v>
      </c>
      <c r="V101" s="6"/>
      <c r="W101" s="6"/>
    </row>
    <row r="102" spans="1:23" x14ac:dyDescent="0.4">
      <c r="A102" s="7"/>
      <c r="B102" s="7"/>
      <c r="C102" s="7"/>
      <c r="D102" s="7"/>
      <c r="E102" s="7"/>
      <c r="F102" s="7"/>
      <c r="G102" s="37" t="s">
        <v>5505</v>
      </c>
      <c r="H102" s="5" t="str">
        <f t="shared" si="88"/>
        <v>experimental</v>
      </c>
      <c r="I102" s="37" t="s">
        <v>5607</v>
      </c>
      <c r="J102" s="5" t="str">
        <f t="shared" si="89"/>
        <v/>
      </c>
      <c r="K102" s="37" t="s">
        <v>5701</v>
      </c>
      <c r="L102" s="5" t="str">
        <f t="shared" si="90"/>
        <v>unconvincing</v>
      </c>
      <c r="M102" s="27"/>
      <c r="N102" s="5" t="str">
        <f t="shared" si="71"/>
        <v/>
      </c>
      <c r="P102" s="6" t="str">
        <f t="shared" si="74"/>
        <v>N</v>
      </c>
      <c r="Q102" s="6" t="s">
        <v>1478</v>
      </c>
      <c r="R102" t="str">
        <f t="shared" ref="R102:T102" si="110">IF(EXACT(S102,I102)=TRUE,"Y","N")</f>
        <v>Y</v>
      </c>
      <c r="S102" t="s">
        <v>1479</v>
      </c>
      <c r="T102" t="str">
        <f t="shared" si="110"/>
        <v>N</v>
      </c>
      <c r="U102" s="6" t="s">
        <v>1480</v>
      </c>
      <c r="V102" s="6"/>
      <c r="W102" s="6"/>
    </row>
    <row r="103" spans="1:23" x14ac:dyDescent="0.4">
      <c r="A103" s="7"/>
      <c r="B103" s="7"/>
      <c r="C103" s="7"/>
      <c r="D103" s="7"/>
      <c r="E103" s="7"/>
      <c r="F103" s="7"/>
      <c r="G103" s="37" t="s">
        <v>5506</v>
      </c>
      <c r="H103" s="5" t="str">
        <f t="shared" si="88"/>
        <v/>
      </c>
      <c r="I103" s="37" t="s">
        <v>5608</v>
      </c>
      <c r="J103" s="5" t="str">
        <f t="shared" si="89"/>
        <v/>
      </c>
      <c r="K103" s="37" t="s">
        <v>5702</v>
      </c>
      <c r="L103" s="5" t="str">
        <f t="shared" si="90"/>
        <v/>
      </c>
      <c r="M103" s="27"/>
      <c r="N103" s="5" t="str">
        <f t="shared" si="71"/>
        <v/>
      </c>
      <c r="P103" s="6" t="str">
        <f t="shared" si="74"/>
        <v>N</v>
      </c>
      <c r="Q103" s="6" t="s">
        <v>1481</v>
      </c>
      <c r="R103" t="str">
        <f t="shared" ref="R103:T103" si="111">IF(EXACT(S103,I103)=TRUE,"Y","N")</f>
        <v>Y</v>
      </c>
      <c r="S103" t="s">
        <v>1482</v>
      </c>
      <c r="T103" t="str">
        <f t="shared" si="111"/>
        <v>Y</v>
      </c>
      <c r="U103" s="6" t="s">
        <v>1483</v>
      </c>
      <c r="V103" s="6"/>
      <c r="W103" s="6"/>
    </row>
    <row r="104" spans="1:23" x14ac:dyDescent="0.4">
      <c r="A104" s="7"/>
      <c r="B104" s="7"/>
      <c r="C104" s="7"/>
      <c r="D104" s="7"/>
      <c r="E104" s="7"/>
      <c r="F104" s="7"/>
      <c r="G104" s="37" t="s">
        <v>5507</v>
      </c>
      <c r="H104" s="5" t="str">
        <f t="shared" si="88"/>
        <v/>
      </c>
      <c r="I104" s="37" t="s">
        <v>5610</v>
      </c>
      <c r="J104" s="5" t="str">
        <f t="shared" si="89"/>
        <v xml:space="preserve">pleasant </v>
      </c>
      <c r="K104" s="37" t="s">
        <v>5703</v>
      </c>
      <c r="L104" s="5" t="str">
        <f t="shared" si="90"/>
        <v/>
      </c>
      <c r="M104" s="27"/>
      <c r="N104" s="5" t="str">
        <f t="shared" si="71"/>
        <v/>
      </c>
      <c r="P104" s="6" t="str">
        <f t="shared" si="74"/>
        <v>N</v>
      </c>
      <c r="Q104" s="6" t="s">
        <v>1484</v>
      </c>
      <c r="R104" t="str">
        <f t="shared" ref="R104:T104" si="112">IF(EXACT(S104,I104)=TRUE,"Y","N")</f>
        <v>N</v>
      </c>
      <c r="S104" t="s">
        <v>1485</v>
      </c>
      <c r="T104" t="str">
        <f t="shared" si="112"/>
        <v>Y</v>
      </c>
      <c r="U104" s="6" t="s">
        <v>1486</v>
      </c>
      <c r="V104" s="6"/>
      <c r="W104" s="6"/>
    </row>
    <row r="105" spans="1:23" x14ac:dyDescent="0.4">
      <c r="A105" s="7"/>
      <c r="B105" s="7"/>
      <c r="C105" s="7"/>
      <c r="D105" s="7"/>
      <c r="E105" s="7"/>
      <c r="F105" s="7"/>
      <c r="G105" s="37" t="s">
        <v>5508</v>
      </c>
      <c r="H105" s="5" t="str">
        <f t="shared" si="88"/>
        <v/>
      </c>
      <c r="I105" s="37" t="s">
        <v>5611</v>
      </c>
      <c r="J105" s="5" t="str">
        <f t="shared" si="89"/>
        <v>political</v>
      </c>
      <c r="K105" s="37" t="s">
        <v>5704</v>
      </c>
      <c r="L105" s="5" t="str">
        <f t="shared" si="90"/>
        <v/>
      </c>
      <c r="M105" s="27"/>
      <c r="N105" s="5" t="str">
        <f t="shared" si="71"/>
        <v/>
      </c>
      <c r="P105" s="6" t="str">
        <f t="shared" si="74"/>
        <v>N</v>
      </c>
      <c r="Q105" s="6" t="s">
        <v>1487</v>
      </c>
      <c r="R105" t="str">
        <f t="shared" ref="R105:T105" si="113">IF(EXACT(S105,I105)=TRUE,"Y","N")</f>
        <v>N</v>
      </c>
      <c r="S105" t="s">
        <v>1488</v>
      </c>
      <c r="T105" t="str">
        <f t="shared" si="113"/>
        <v>Y</v>
      </c>
      <c r="U105" s="6" t="s">
        <v>1489</v>
      </c>
      <c r="V105" s="6"/>
      <c r="W105" s="6"/>
    </row>
    <row r="106" spans="1:23" x14ac:dyDescent="0.4">
      <c r="A106" s="7"/>
      <c r="B106" s="7"/>
      <c r="C106" s="7"/>
      <c r="D106" s="7"/>
      <c r="E106" s="7"/>
      <c r="F106" s="7"/>
      <c r="G106" s="37" t="s">
        <v>5509</v>
      </c>
      <c r="H106" s="5" t="str">
        <f t="shared" si="88"/>
        <v/>
      </c>
      <c r="I106" s="37" t="s">
        <v>5612</v>
      </c>
      <c r="J106" s="5" t="str">
        <f t="shared" si="89"/>
        <v>pop</v>
      </c>
      <c r="K106" s="37" t="s">
        <v>5705</v>
      </c>
      <c r="L106" s="5" t="str">
        <f t="shared" si="90"/>
        <v/>
      </c>
      <c r="M106" s="27"/>
      <c r="N106" s="5" t="str">
        <f t="shared" si="71"/>
        <v/>
      </c>
      <c r="P106" s="6" t="str">
        <f t="shared" si="74"/>
        <v>N</v>
      </c>
      <c r="Q106" s="6" t="s">
        <v>1490</v>
      </c>
      <c r="R106" t="str">
        <f t="shared" ref="R106:T106" si="114">IF(EXACT(S106,I106)=TRUE,"Y","N")</f>
        <v>N</v>
      </c>
      <c r="S106" t="s">
        <v>1491</v>
      </c>
      <c r="T106" t="str">
        <f t="shared" si="114"/>
        <v>Y</v>
      </c>
      <c r="U106" s="6" t="s">
        <v>1492</v>
      </c>
      <c r="V106" s="6"/>
      <c r="W106" s="6"/>
    </row>
    <row r="107" spans="1:23" x14ac:dyDescent="0.4">
      <c r="A107" s="7"/>
      <c r="B107" s="7"/>
      <c r="C107" s="7"/>
      <c r="D107" s="7"/>
      <c r="E107" s="7"/>
      <c r="F107" s="7"/>
      <c r="G107" s="24"/>
      <c r="H107" s="5" t="str">
        <f t="shared" si="88"/>
        <v/>
      </c>
      <c r="I107" s="24"/>
      <c r="J107" s="5" t="str">
        <f t="shared" si="89"/>
        <v/>
      </c>
      <c r="K107" s="37" t="s">
        <v>5706</v>
      </c>
      <c r="L107" s="5" t="str">
        <f t="shared" si="90"/>
        <v/>
      </c>
      <c r="M107" s="27"/>
      <c r="N107" s="5" t="str">
        <f t="shared" si="71"/>
        <v/>
      </c>
      <c r="P107" s="6"/>
      <c r="Q107" s="6"/>
      <c r="T107" t="str">
        <f t="shared" ref="T107:T115" si="115">IF(EXACT(U107,K107)=TRUE,"Y","N")</f>
        <v>Y</v>
      </c>
      <c r="U107" s="6" t="s">
        <v>1493</v>
      </c>
      <c r="V107" s="6"/>
      <c r="W107" s="6"/>
    </row>
    <row r="108" spans="1:23" x14ac:dyDescent="0.4">
      <c r="A108" s="7"/>
      <c r="B108" s="7"/>
      <c r="C108" s="7"/>
      <c r="D108" s="7"/>
      <c r="E108" s="7"/>
      <c r="F108" s="7"/>
      <c r="G108" s="24"/>
      <c r="H108" s="5" t="str">
        <f t="shared" si="88"/>
        <v/>
      </c>
      <c r="I108" s="24"/>
      <c r="J108" s="5" t="str">
        <f t="shared" si="89"/>
        <v/>
      </c>
      <c r="K108" s="37" t="s">
        <v>5707</v>
      </c>
      <c r="L108" s="5" t="str">
        <f t="shared" si="90"/>
        <v>unreliable</v>
      </c>
      <c r="M108" s="27"/>
      <c r="N108" s="5" t="str">
        <f t="shared" si="71"/>
        <v/>
      </c>
      <c r="P108" s="6"/>
      <c r="Q108" s="6"/>
      <c r="T108" t="str">
        <f t="shared" si="115"/>
        <v>N</v>
      </c>
      <c r="U108" s="6" t="s">
        <v>1494</v>
      </c>
      <c r="V108" s="6"/>
      <c r="W108" s="6"/>
    </row>
    <row r="109" spans="1:23" x14ac:dyDescent="0.4">
      <c r="A109" s="7"/>
      <c r="B109" s="7"/>
      <c r="C109" s="7"/>
      <c r="D109" s="7"/>
      <c r="E109" s="7"/>
      <c r="F109" s="7"/>
      <c r="G109" s="24"/>
      <c r="H109" s="5" t="str">
        <f t="shared" si="88"/>
        <v/>
      </c>
      <c r="I109" s="24"/>
      <c r="J109" s="5" t="str">
        <f t="shared" si="89"/>
        <v/>
      </c>
      <c r="K109" s="37" t="s">
        <v>5708</v>
      </c>
      <c r="L109" s="5" t="str">
        <f t="shared" si="90"/>
        <v/>
      </c>
      <c r="M109" s="27"/>
      <c r="N109" s="5" t="str">
        <f t="shared" si="71"/>
        <v/>
      </c>
      <c r="P109" s="6"/>
      <c r="Q109" s="6"/>
      <c r="T109" t="str">
        <f t="shared" si="115"/>
        <v>Y</v>
      </c>
      <c r="U109" s="6" t="s">
        <v>1495</v>
      </c>
      <c r="V109" s="6"/>
      <c r="W109" s="6"/>
    </row>
    <row r="110" spans="1:23" x14ac:dyDescent="0.4">
      <c r="A110" s="7"/>
      <c r="B110" s="7"/>
      <c r="C110" s="7"/>
      <c r="D110" s="7"/>
      <c r="E110" s="7"/>
      <c r="F110" s="7"/>
      <c r="G110" s="24"/>
      <c r="H110" s="5" t="str">
        <f t="shared" si="88"/>
        <v/>
      </c>
      <c r="I110" s="24"/>
      <c r="J110" s="5" t="str">
        <f t="shared" si="89"/>
        <v/>
      </c>
      <c r="K110" s="37" t="s">
        <v>5709</v>
      </c>
      <c r="L110" s="5" t="str">
        <f t="shared" si="90"/>
        <v/>
      </c>
      <c r="M110" s="27"/>
      <c r="N110" s="5" t="str">
        <f t="shared" si="71"/>
        <v/>
      </c>
      <c r="P110" s="6"/>
      <c r="Q110" s="6"/>
      <c r="T110" t="str">
        <f t="shared" si="115"/>
        <v>Y</v>
      </c>
      <c r="U110" s="6" t="s">
        <v>1496</v>
      </c>
      <c r="V110" s="6"/>
      <c r="W110" s="6"/>
    </row>
    <row r="111" spans="1:23" x14ac:dyDescent="0.4">
      <c r="A111" s="7"/>
      <c r="B111" s="7"/>
      <c r="C111" s="7"/>
      <c r="D111" s="7"/>
      <c r="E111" s="7"/>
      <c r="F111" s="7"/>
      <c r="G111" s="24"/>
      <c r="H111" s="5" t="str">
        <f t="shared" si="88"/>
        <v/>
      </c>
      <c r="I111" s="24"/>
      <c r="J111" s="5" t="str">
        <f t="shared" si="89"/>
        <v/>
      </c>
      <c r="K111" s="37" t="s">
        <v>5710</v>
      </c>
      <c r="L111" s="5" t="str">
        <f t="shared" si="90"/>
        <v/>
      </c>
      <c r="M111" s="27"/>
      <c r="N111" s="5" t="str">
        <f t="shared" si="71"/>
        <v/>
      </c>
      <c r="P111" s="6"/>
      <c r="Q111" s="6"/>
      <c r="T111" t="str">
        <f t="shared" si="115"/>
        <v>Y</v>
      </c>
      <c r="U111" s="6" t="s">
        <v>1497</v>
      </c>
      <c r="V111" s="6"/>
      <c r="W111" s="6"/>
    </row>
    <row r="112" spans="1:23" x14ac:dyDescent="0.4">
      <c r="A112" s="7"/>
      <c r="B112" s="7"/>
      <c r="C112" s="7"/>
      <c r="D112" s="7"/>
      <c r="E112" s="7"/>
      <c r="F112" s="7"/>
      <c r="G112" s="24"/>
      <c r="H112" s="5" t="str">
        <f t="shared" si="88"/>
        <v/>
      </c>
      <c r="I112" s="24"/>
      <c r="J112" s="5" t="str">
        <f t="shared" si="89"/>
        <v/>
      </c>
      <c r="K112" s="37" t="s">
        <v>5711</v>
      </c>
      <c r="L112" s="5" t="str">
        <f t="shared" si="90"/>
        <v/>
      </c>
      <c r="M112" s="27"/>
      <c r="N112" s="5" t="str">
        <f t="shared" si="71"/>
        <v/>
      </c>
      <c r="P112" s="6"/>
      <c r="Q112" s="6"/>
      <c r="T112" t="str">
        <f t="shared" si="115"/>
        <v>Y</v>
      </c>
      <c r="U112" s="6" t="s">
        <v>1498</v>
      </c>
      <c r="V112" s="6"/>
      <c r="W112" s="6"/>
    </row>
    <row r="113" spans="1:23" x14ac:dyDescent="0.4">
      <c r="A113" s="7"/>
      <c r="B113" s="7"/>
      <c r="C113" s="7"/>
      <c r="D113" s="7"/>
      <c r="E113" s="7"/>
      <c r="F113" s="7"/>
      <c r="G113" s="24"/>
      <c r="H113" s="5" t="str">
        <f t="shared" si="88"/>
        <v/>
      </c>
      <c r="I113" s="24"/>
      <c r="J113" s="5" t="str">
        <f t="shared" si="89"/>
        <v/>
      </c>
      <c r="K113" s="37" t="s">
        <v>5712</v>
      </c>
      <c r="L113" s="5" t="str">
        <f t="shared" si="90"/>
        <v/>
      </c>
      <c r="M113" s="27"/>
      <c r="N113" s="5" t="str">
        <f t="shared" si="71"/>
        <v/>
      </c>
      <c r="P113" s="6"/>
      <c r="Q113" s="6"/>
      <c r="T113" t="str">
        <f t="shared" si="115"/>
        <v>Y</v>
      </c>
      <c r="U113" s="6" t="s">
        <v>1499</v>
      </c>
      <c r="V113" s="6"/>
      <c r="W113" s="6"/>
    </row>
    <row r="114" spans="1:23" x14ac:dyDescent="0.4">
      <c r="A114" s="7"/>
      <c r="B114" s="7"/>
      <c r="C114" s="7"/>
      <c r="D114" s="7"/>
      <c r="E114" s="7"/>
      <c r="F114" s="7"/>
      <c r="G114" s="24"/>
      <c r="H114" s="5" t="str">
        <f t="shared" si="88"/>
        <v/>
      </c>
      <c r="I114" s="24"/>
      <c r="J114" s="5" t="str">
        <f t="shared" si="89"/>
        <v/>
      </c>
      <c r="K114" s="37" t="s">
        <v>5713</v>
      </c>
      <c r="L114" s="5" t="str">
        <f t="shared" si="90"/>
        <v/>
      </c>
      <c r="M114" s="27"/>
      <c r="N114" s="5" t="str">
        <f t="shared" si="71"/>
        <v/>
      </c>
      <c r="P114" s="6"/>
      <c r="Q114" s="6"/>
      <c r="T114" t="str">
        <f t="shared" si="115"/>
        <v>Y</v>
      </c>
      <c r="U114" s="6" t="s">
        <v>1500</v>
      </c>
      <c r="V114" s="6"/>
      <c r="W114" s="6"/>
    </row>
    <row r="115" spans="1:23" x14ac:dyDescent="0.4">
      <c r="A115" s="7"/>
      <c r="B115" s="7"/>
      <c r="C115" s="7"/>
      <c r="D115" s="7"/>
      <c r="E115" s="7"/>
      <c r="F115" s="7"/>
      <c r="G115" s="24"/>
      <c r="H115" s="30"/>
      <c r="I115" s="24"/>
      <c r="J115" s="5" t="str">
        <f t="shared" si="89"/>
        <v/>
      </c>
      <c r="K115" s="37" t="s">
        <v>5714</v>
      </c>
      <c r="L115" s="5" t="str">
        <f t="shared" si="90"/>
        <v/>
      </c>
      <c r="M115" s="27"/>
      <c r="N115" s="5" t="str">
        <f t="shared" si="71"/>
        <v/>
      </c>
      <c r="T115" t="str">
        <f t="shared" si="115"/>
        <v>Y</v>
      </c>
      <c r="U115" s="6" t="s">
        <v>1501</v>
      </c>
      <c r="V115" s="6"/>
      <c r="W115" s="6"/>
    </row>
    <row r="116" spans="1:23" x14ac:dyDescent="0.4">
      <c r="A116" s="7"/>
      <c r="B116" s="7"/>
      <c r="C116" s="7"/>
      <c r="D116" s="7"/>
      <c r="E116" s="7"/>
      <c r="F116" s="7"/>
      <c r="G116" s="24"/>
      <c r="H116" s="30"/>
      <c r="I116" s="24"/>
      <c r="J116" s="5" t="str">
        <f t="shared" si="89"/>
        <v/>
      </c>
      <c r="K116" s="37" t="s">
        <v>5715</v>
      </c>
      <c r="L116" s="5" t="str">
        <f t="shared" si="90"/>
        <v>virtual</v>
      </c>
      <c r="M116" s="27"/>
      <c r="N116" s="5" t="str">
        <f t="shared" si="71"/>
        <v/>
      </c>
      <c r="T116" t="str">
        <f t="shared" ref="T116:T128" si="116">IF(EXACT(U116,K116)=TRUE,"Y","N")</f>
        <v>N</v>
      </c>
      <c r="U116" s="6" t="s">
        <v>1502</v>
      </c>
      <c r="V116" s="6"/>
      <c r="W116" s="6"/>
    </row>
    <row r="117" spans="1:23" x14ac:dyDescent="0.4">
      <c r="A117" s="7"/>
      <c r="B117" s="7"/>
      <c r="C117" s="7"/>
      <c r="D117" s="7"/>
      <c r="E117" s="7"/>
      <c r="F117" s="7"/>
      <c r="G117" s="24"/>
      <c r="H117" s="30"/>
      <c r="I117" s="24"/>
      <c r="J117" s="5" t="str">
        <f t="shared" si="89"/>
        <v/>
      </c>
      <c r="K117" s="37" t="s">
        <v>5716</v>
      </c>
      <c r="L117" s="5" t="str">
        <f t="shared" si="90"/>
        <v/>
      </c>
      <c r="M117" s="27"/>
      <c r="N117" s="5" t="str">
        <f t="shared" si="71"/>
        <v/>
      </c>
      <c r="T117" t="str">
        <f t="shared" si="116"/>
        <v>Y</v>
      </c>
      <c r="U117" s="6" t="s">
        <v>1503</v>
      </c>
      <c r="V117" s="6"/>
      <c r="W117" s="6"/>
    </row>
    <row r="118" spans="1:23" x14ac:dyDescent="0.4">
      <c r="A118" s="7"/>
      <c r="B118" s="7"/>
      <c r="C118" s="7"/>
      <c r="D118" s="7"/>
      <c r="E118" s="7"/>
      <c r="F118" s="7"/>
      <c r="G118" s="24"/>
      <c r="H118" s="30"/>
      <c r="I118" s="24"/>
      <c r="J118" s="5" t="str">
        <f t="shared" si="89"/>
        <v/>
      </c>
      <c r="K118" s="37" t="s">
        <v>5717</v>
      </c>
      <c r="L118" s="5" t="str">
        <f t="shared" si="90"/>
        <v/>
      </c>
      <c r="M118" s="27"/>
      <c r="N118" s="5" t="str">
        <f t="shared" si="71"/>
        <v/>
      </c>
      <c r="T118" t="str">
        <f t="shared" si="116"/>
        <v>Y</v>
      </c>
      <c r="U118" s="6" t="s">
        <v>1504</v>
      </c>
      <c r="V118" s="6"/>
      <c r="W118" s="6"/>
    </row>
    <row r="119" spans="1:23" x14ac:dyDescent="0.4">
      <c r="A119" s="7"/>
      <c r="B119" s="7"/>
      <c r="C119" s="7"/>
      <c r="D119" s="7"/>
      <c r="E119" s="7"/>
      <c r="F119" s="7"/>
      <c r="G119" s="24"/>
      <c r="H119" s="30"/>
      <c r="I119" s="24"/>
      <c r="J119" s="5" t="str">
        <f t="shared" si="89"/>
        <v/>
      </c>
      <c r="K119" s="37" t="s">
        <v>5718</v>
      </c>
      <c r="L119" s="5" t="str">
        <f t="shared" si="90"/>
        <v/>
      </c>
      <c r="M119" s="27"/>
      <c r="N119" s="5" t="str">
        <f t="shared" si="71"/>
        <v/>
      </c>
      <c r="T119" t="str">
        <f t="shared" si="116"/>
        <v>Y</v>
      </c>
      <c r="U119" s="6" t="s">
        <v>1505</v>
      </c>
      <c r="V119" s="6"/>
      <c r="W119" s="6"/>
    </row>
    <row r="120" spans="1:23" x14ac:dyDescent="0.4">
      <c r="A120" s="7"/>
      <c r="B120" s="7"/>
      <c r="C120" s="7"/>
      <c r="D120" s="7"/>
      <c r="E120" s="7"/>
      <c r="F120" s="7"/>
      <c r="G120" s="24"/>
      <c r="H120" s="30"/>
      <c r="I120" s="24"/>
      <c r="J120" s="5" t="str">
        <f t="shared" si="89"/>
        <v/>
      </c>
      <c r="K120" s="37" t="s">
        <v>5719</v>
      </c>
      <c r="L120" s="5" t="str">
        <f t="shared" si="90"/>
        <v/>
      </c>
      <c r="M120" s="27"/>
      <c r="N120" s="5" t="str">
        <f t="shared" si="71"/>
        <v/>
      </c>
      <c r="T120" t="str">
        <f t="shared" si="116"/>
        <v>Y</v>
      </c>
      <c r="U120" s="6" t="s">
        <v>1506</v>
      </c>
      <c r="V120" s="6"/>
      <c r="W120" s="6"/>
    </row>
    <row r="121" spans="1:23" x14ac:dyDescent="0.4">
      <c r="A121" s="7"/>
      <c r="B121" s="7"/>
      <c r="C121" s="7"/>
      <c r="D121" s="7"/>
      <c r="E121" s="7"/>
      <c r="F121" s="7"/>
      <c r="G121" s="24"/>
      <c r="H121" s="30"/>
      <c r="I121" s="24"/>
      <c r="J121" s="5" t="str">
        <f t="shared" si="89"/>
        <v/>
      </c>
      <c r="K121" s="37" t="s">
        <v>5720</v>
      </c>
      <c r="L121" s="5" t="str">
        <f t="shared" si="90"/>
        <v/>
      </c>
      <c r="M121" s="27"/>
      <c r="N121" s="5" t="str">
        <f t="shared" si="71"/>
        <v/>
      </c>
      <c r="T121" t="str">
        <f t="shared" si="116"/>
        <v>Y</v>
      </c>
      <c r="U121" s="6" t="s">
        <v>1507</v>
      </c>
      <c r="V121" s="6"/>
      <c r="W121" s="6"/>
    </row>
    <row r="122" spans="1:23" x14ac:dyDescent="0.4">
      <c r="A122" s="7"/>
      <c r="B122" s="7"/>
      <c r="C122" s="7"/>
      <c r="D122" s="7"/>
      <c r="E122" s="7"/>
      <c r="F122" s="7"/>
      <c r="G122" s="24"/>
      <c r="H122" s="30"/>
      <c r="I122" s="24"/>
      <c r="J122" s="5" t="str">
        <f t="shared" si="89"/>
        <v/>
      </c>
      <c r="K122" s="37" t="s">
        <v>5721</v>
      </c>
      <c r="L122" s="5" t="str">
        <f t="shared" si="90"/>
        <v>weekly</v>
      </c>
      <c r="M122" s="27"/>
      <c r="N122" s="5" t="str">
        <f t="shared" si="71"/>
        <v/>
      </c>
      <c r="T122" t="str">
        <f t="shared" si="116"/>
        <v>N</v>
      </c>
      <c r="U122" s="6" t="s">
        <v>1508</v>
      </c>
      <c r="V122" s="6"/>
      <c r="W122" s="6"/>
    </row>
    <row r="123" spans="1:23" x14ac:dyDescent="0.4">
      <c r="A123" s="7"/>
      <c r="B123" s="7"/>
      <c r="C123" s="7"/>
      <c r="D123" s="7"/>
      <c r="E123" s="7"/>
      <c r="F123" s="7"/>
      <c r="G123" s="24"/>
      <c r="H123" s="30"/>
      <c r="I123" s="24"/>
      <c r="J123" s="5" t="str">
        <f t="shared" si="89"/>
        <v/>
      </c>
      <c r="K123" s="37" t="s">
        <v>5722</v>
      </c>
      <c r="L123" s="5" t="str">
        <f t="shared" si="90"/>
        <v/>
      </c>
      <c r="M123" s="27"/>
      <c r="N123" s="5" t="str">
        <f t="shared" si="71"/>
        <v/>
      </c>
      <c r="T123" t="str">
        <f t="shared" si="116"/>
        <v>Y</v>
      </c>
      <c r="U123" s="6" t="s">
        <v>1509</v>
      </c>
      <c r="V123" s="6"/>
      <c r="W123" s="6"/>
    </row>
    <row r="124" spans="1:23" x14ac:dyDescent="0.4">
      <c r="A124" s="7"/>
      <c r="B124" s="7"/>
      <c r="C124" s="7"/>
      <c r="D124" s="7"/>
      <c r="E124" s="7"/>
      <c r="F124" s="7"/>
      <c r="G124" s="24"/>
      <c r="H124" s="30"/>
      <c r="I124" s="24"/>
      <c r="J124" s="5" t="str">
        <f t="shared" si="89"/>
        <v/>
      </c>
      <c r="K124" s="37" t="s">
        <v>5723</v>
      </c>
      <c r="L124" s="5" t="str">
        <f t="shared" si="90"/>
        <v>whole</v>
      </c>
      <c r="M124" s="27"/>
      <c r="N124" s="5" t="str">
        <f t="shared" si="71"/>
        <v/>
      </c>
      <c r="T124" t="str">
        <f t="shared" si="116"/>
        <v>N</v>
      </c>
      <c r="U124" s="6" t="s">
        <v>1510</v>
      </c>
      <c r="V124" s="6"/>
      <c r="W124" s="6"/>
    </row>
    <row r="125" spans="1:23" x14ac:dyDescent="0.4">
      <c r="A125" s="7"/>
      <c r="B125" s="7"/>
      <c r="C125" s="7"/>
      <c r="D125" s="7"/>
      <c r="E125" s="7"/>
      <c r="F125" s="7"/>
      <c r="G125" s="24"/>
      <c r="H125" s="30"/>
      <c r="I125" s="24"/>
      <c r="J125" s="5" t="str">
        <f t="shared" si="89"/>
        <v/>
      </c>
      <c r="K125" s="37" t="s">
        <v>5724</v>
      </c>
      <c r="L125" s="5" t="str">
        <f t="shared" si="90"/>
        <v/>
      </c>
      <c r="M125" s="27"/>
      <c r="N125" s="5" t="str">
        <f t="shared" si="71"/>
        <v/>
      </c>
      <c r="T125" t="str">
        <f t="shared" si="116"/>
        <v>Y</v>
      </c>
      <c r="U125" s="6" t="s">
        <v>1511</v>
      </c>
      <c r="V125" s="6"/>
      <c r="W125" s="6"/>
    </row>
    <row r="126" spans="1:23" x14ac:dyDescent="0.4">
      <c r="A126" s="7"/>
      <c r="B126" s="7"/>
      <c r="C126" s="7"/>
      <c r="D126" s="7"/>
      <c r="E126" s="7"/>
      <c r="F126" s="7"/>
      <c r="G126" s="24"/>
      <c r="H126" s="30"/>
      <c r="I126" s="24"/>
      <c r="J126" s="5" t="str">
        <f t="shared" si="89"/>
        <v/>
      </c>
      <c r="K126" s="37" t="s">
        <v>5725</v>
      </c>
      <c r="L126" s="5" t="str">
        <f t="shared" si="90"/>
        <v/>
      </c>
      <c r="M126" s="27"/>
      <c r="N126" s="5" t="str">
        <f t="shared" si="71"/>
        <v/>
      </c>
      <c r="T126" t="str">
        <f t="shared" si="116"/>
        <v>Y</v>
      </c>
      <c r="U126" s="6" t="s">
        <v>1512</v>
      </c>
      <c r="V126" s="6"/>
      <c r="W126" s="6"/>
    </row>
    <row r="127" spans="1:23" x14ac:dyDescent="0.4">
      <c r="A127" s="7"/>
      <c r="B127" s="7"/>
      <c r="C127" s="7"/>
      <c r="D127" s="7"/>
      <c r="E127" s="7"/>
      <c r="F127" s="7"/>
      <c r="G127" s="24"/>
      <c r="H127" s="30"/>
      <c r="I127" s="24"/>
      <c r="J127" s="5" t="str">
        <f t="shared" si="89"/>
        <v/>
      </c>
      <c r="K127" s="37" t="s">
        <v>5726</v>
      </c>
      <c r="L127" s="5" t="str">
        <f t="shared" si="90"/>
        <v/>
      </c>
      <c r="M127" s="27"/>
      <c r="N127" s="5" t="str">
        <f t="shared" si="71"/>
        <v/>
      </c>
      <c r="T127" t="str">
        <f t="shared" si="116"/>
        <v>Y</v>
      </c>
      <c r="U127" s="6" t="s">
        <v>1513</v>
      </c>
      <c r="V127" s="6"/>
      <c r="W127" s="6"/>
    </row>
    <row r="128" spans="1:23" x14ac:dyDescent="0.4">
      <c r="A128" s="7"/>
      <c r="B128" s="7"/>
      <c r="C128" s="7"/>
      <c r="D128" s="7"/>
      <c r="E128" s="7"/>
      <c r="F128" s="7"/>
      <c r="G128" s="24"/>
      <c r="H128" s="30"/>
      <c r="I128" s="24"/>
      <c r="J128" s="5" t="str">
        <f t="shared" si="89"/>
        <v/>
      </c>
      <c r="K128" s="37" t="s">
        <v>5727</v>
      </c>
      <c r="L128" s="5" t="str">
        <f t="shared" si="90"/>
        <v/>
      </c>
      <c r="M128" s="27"/>
      <c r="N128" s="5" t="str">
        <f t="shared" si="71"/>
        <v/>
      </c>
      <c r="T128" t="str">
        <f t="shared" si="116"/>
        <v>Y</v>
      </c>
      <c r="U128" s="6" t="s">
        <v>1514</v>
      </c>
      <c r="V128" s="6"/>
      <c r="W128" s="6"/>
    </row>
    <row r="129" spans="7:23" x14ac:dyDescent="0.4">
      <c r="G129" s="24"/>
      <c r="H129" s="30"/>
      <c r="I129" s="24"/>
      <c r="J129" s="5" t="str">
        <f t="shared" si="89"/>
        <v/>
      </c>
      <c r="K129" s="24"/>
      <c r="L129" s="5" t="str">
        <f t="shared" si="90"/>
        <v/>
      </c>
      <c r="M129" s="27"/>
      <c r="N129" s="5" t="str">
        <f t="shared" si="71"/>
        <v/>
      </c>
      <c r="U129" s="6"/>
      <c r="V129" s="6"/>
      <c r="W129" s="6"/>
    </row>
    <row r="130" spans="7:23" x14ac:dyDescent="0.4">
      <c r="G130" s="24"/>
      <c r="H130" s="30"/>
      <c r="I130" s="24"/>
      <c r="J130" s="5" t="str">
        <f t="shared" si="89"/>
        <v/>
      </c>
      <c r="K130" s="24"/>
      <c r="L130" s="5" t="str">
        <f t="shared" si="90"/>
        <v/>
      </c>
      <c r="M130" s="27"/>
      <c r="N130" s="5" t="str">
        <f t="shared" si="71"/>
        <v/>
      </c>
      <c r="U130" s="6"/>
      <c r="V130" s="6"/>
      <c r="W130" s="6"/>
    </row>
    <row r="131" spans="7:23" x14ac:dyDescent="0.4">
      <c r="G131" s="24"/>
      <c r="H131" s="30"/>
      <c r="I131" s="24"/>
      <c r="J131" s="5" t="str">
        <f t="shared" si="89"/>
        <v/>
      </c>
      <c r="K131" s="24"/>
      <c r="L131" s="5" t="str">
        <f t="shared" si="90"/>
        <v/>
      </c>
      <c r="M131" s="27"/>
      <c r="N131" s="5" t="str">
        <f t="shared" si="71"/>
        <v/>
      </c>
      <c r="U131" s="6"/>
      <c r="V131" s="6"/>
      <c r="W131" s="6"/>
    </row>
    <row r="132" spans="7:23" x14ac:dyDescent="0.4">
      <c r="G132" s="24"/>
      <c r="H132" s="30"/>
      <c r="I132" s="24"/>
      <c r="J132" s="5" t="str">
        <f t="shared" si="89"/>
        <v/>
      </c>
      <c r="K132" s="24"/>
      <c r="L132" s="5" t="str">
        <f t="shared" si="90"/>
        <v/>
      </c>
      <c r="M132" s="27"/>
      <c r="N132" s="5" t="str">
        <f t="shared" ref="N132:N157" si="117">IF(IF(EXACT(W132,M132)=TRUE,"Y","N")="Y","",VLOOKUP(IF(EXACT(W132,M132)=TRUE,"Y","N"),V132:W132,2,FALSE))</f>
        <v/>
      </c>
      <c r="U132" s="6"/>
      <c r="V132" s="6"/>
      <c r="W132" s="6"/>
    </row>
    <row r="133" spans="7:23" x14ac:dyDescent="0.4">
      <c r="G133" s="24"/>
      <c r="H133" s="30"/>
      <c r="I133" s="24"/>
      <c r="J133" s="5" t="str">
        <f t="shared" si="89"/>
        <v/>
      </c>
      <c r="K133" s="24"/>
      <c r="L133" s="5" t="str">
        <f t="shared" si="90"/>
        <v/>
      </c>
      <c r="M133" s="27"/>
      <c r="N133" s="5" t="str">
        <f t="shared" si="117"/>
        <v/>
      </c>
      <c r="U133" s="6"/>
      <c r="V133" s="6"/>
      <c r="W133" s="6"/>
    </row>
    <row r="134" spans="7:23" x14ac:dyDescent="0.4">
      <c r="G134" s="24"/>
      <c r="H134" s="30"/>
      <c r="I134" s="24"/>
      <c r="J134" s="5" t="str">
        <f t="shared" si="89"/>
        <v/>
      </c>
      <c r="K134" s="24"/>
      <c r="L134" s="5" t="str">
        <f t="shared" si="90"/>
        <v/>
      </c>
      <c r="M134" s="27"/>
      <c r="N134" s="5" t="str">
        <f t="shared" si="117"/>
        <v/>
      </c>
      <c r="U134" s="6"/>
      <c r="V134" s="6"/>
      <c r="W134" s="6"/>
    </row>
    <row r="135" spans="7:23" x14ac:dyDescent="0.4">
      <c r="G135" s="24"/>
      <c r="H135" s="30"/>
      <c r="I135" s="24"/>
      <c r="J135" s="5" t="str">
        <f t="shared" si="89"/>
        <v/>
      </c>
      <c r="K135" s="24"/>
      <c r="L135" s="5" t="str">
        <f t="shared" si="90"/>
        <v/>
      </c>
      <c r="M135" s="27"/>
      <c r="N135" s="5" t="str">
        <f t="shared" si="117"/>
        <v/>
      </c>
      <c r="U135" s="6"/>
      <c r="V135" s="6"/>
      <c r="W135" s="6"/>
    </row>
    <row r="136" spans="7:23" x14ac:dyDescent="0.4">
      <c r="G136" s="24"/>
      <c r="H136" s="30"/>
      <c r="I136" s="24"/>
      <c r="J136" s="5" t="str">
        <f t="shared" si="89"/>
        <v/>
      </c>
      <c r="K136" s="24"/>
      <c r="L136" s="5" t="str">
        <f t="shared" si="90"/>
        <v/>
      </c>
      <c r="M136" s="27"/>
      <c r="N136" s="5" t="str">
        <f t="shared" si="117"/>
        <v/>
      </c>
      <c r="U136" s="6"/>
      <c r="V136" s="6"/>
      <c r="W136" s="6"/>
    </row>
    <row r="137" spans="7:23" x14ac:dyDescent="0.4">
      <c r="G137" s="24"/>
      <c r="H137" s="30"/>
      <c r="I137" s="24"/>
      <c r="J137" s="5" t="str">
        <f t="shared" si="89"/>
        <v/>
      </c>
      <c r="K137" s="24"/>
      <c r="L137" s="5" t="str">
        <f t="shared" si="90"/>
        <v/>
      </c>
      <c r="M137" s="27"/>
      <c r="N137" s="5" t="str">
        <f t="shared" si="117"/>
        <v/>
      </c>
      <c r="U137" s="6"/>
      <c r="V137" s="6"/>
      <c r="W137" s="6"/>
    </row>
    <row r="138" spans="7:23" x14ac:dyDescent="0.4">
      <c r="G138" s="24"/>
      <c r="H138" s="30"/>
      <c r="I138" s="24"/>
      <c r="J138" s="5" t="str">
        <f t="shared" si="89"/>
        <v/>
      </c>
      <c r="K138" s="24"/>
      <c r="L138" s="5" t="str">
        <f t="shared" si="90"/>
        <v/>
      </c>
      <c r="M138" s="27"/>
      <c r="N138" s="5" t="str">
        <f t="shared" si="117"/>
        <v/>
      </c>
      <c r="U138" s="6"/>
      <c r="V138" s="6"/>
      <c r="W138" s="6"/>
    </row>
    <row r="139" spans="7:23" x14ac:dyDescent="0.4">
      <c r="G139" s="24"/>
      <c r="H139" s="30"/>
      <c r="I139" s="24"/>
      <c r="J139" s="5" t="str">
        <f t="shared" si="89"/>
        <v/>
      </c>
      <c r="K139" s="24"/>
      <c r="L139" s="5" t="str">
        <f t="shared" si="90"/>
        <v/>
      </c>
      <c r="M139" s="27"/>
      <c r="N139" s="5" t="str">
        <f t="shared" si="117"/>
        <v/>
      </c>
      <c r="U139" s="6"/>
      <c r="V139" s="6"/>
      <c r="W139" s="6"/>
    </row>
    <row r="140" spans="7:23" x14ac:dyDescent="0.4">
      <c r="G140" s="24"/>
      <c r="H140" s="30"/>
      <c r="I140" s="24"/>
      <c r="J140" s="5" t="str">
        <f t="shared" si="89"/>
        <v/>
      </c>
      <c r="K140" s="24"/>
      <c r="L140" s="5" t="str">
        <f t="shared" si="90"/>
        <v/>
      </c>
      <c r="M140" s="27"/>
      <c r="N140" s="5" t="str">
        <f t="shared" si="117"/>
        <v/>
      </c>
      <c r="U140" s="6"/>
      <c r="V140" s="6"/>
      <c r="W140" s="6"/>
    </row>
    <row r="141" spans="7:23" x14ac:dyDescent="0.4">
      <c r="G141" s="24"/>
      <c r="H141" s="30"/>
      <c r="I141" s="24"/>
      <c r="J141" s="5" t="str">
        <f t="shared" si="89"/>
        <v/>
      </c>
      <c r="K141" s="24"/>
      <c r="L141" s="5" t="str">
        <f t="shared" si="90"/>
        <v/>
      </c>
      <c r="M141" s="27"/>
      <c r="N141" s="5" t="str">
        <f t="shared" si="117"/>
        <v/>
      </c>
      <c r="U141" s="6"/>
      <c r="V141" s="6"/>
      <c r="W141" s="6"/>
    </row>
    <row r="142" spans="7:23" x14ac:dyDescent="0.4">
      <c r="G142" s="24"/>
      <c r="H142" s="30"/>
      <c r="I142" s="24"/>
      <c r="J142" s="5" t="str">
        <f t="shared" si="89"/>
        <v/>
      </c>
      <c r="K142" s="24"/>
      <c r="L142" s="5" t="str">
        <f t="shared" si="90"/>
        <v/>
      </c>
      <c r="M142" s="27"/>
      <c r="N142" s="5" t="str">
        <f t="shared" si="117"/>
        <v/>
      </c>
      <c r="U142" s="6"/>
      <c r="V142" s="6"/>
      <c r="W142" s="6"/>
    </row>
    <row r="143" spans="7:23" x14ac:dyDescent="0.4">
      <c r="G143" s="24"/>
      <c r="H143" s="30"/>
      <c r="I143" s="24"/>
      <c r="J143" s="5" t="str">
        <f t="shared" si="89"/>
        <v/>
      </c>
      <c r="K143" s="24"/>
      <c r="L143" s="5" t="str">
        <f t="shared" si="90"/>
        <v/>
      </c>
      <c r="M143" s="27"/>
      <c r="N143" s="5" t="str">
        <f t="shared" si="117"/>
        <v/>
      </c>
      <c r="U143" s="6"/>
      <c r="V143" s="6"/>
      <c r="W143" s="6"/>
    </row>
    <row r="144" spans="7:23" x14ac:dyDescent="0.4">
      <c r="G144" s="24"/>
      <c r="H144" s="30"/>
      <c r="I144" s="24"/>
      <c r="J144" s="5" t="str">
        <f t="shared" si="89"/>
        <v/>
      </c>
      <c r="K144" s="24"/>
      <c r="L144" s="5" t="str">
        <f t="shared" si="90"/>
        <v/>
      </c>
      <c r="M144" s="27"/>
      <c r="N144" s="5" t="str">
        <f t="shared" si="117"/>
        <v/>
      </c>
      <c r="U144" s="6"/>
      <c r="V144" s="6"/>
      <c r="W144" s="6"/>
    </row>
    <row r="145" spans="7:23" x14ac:dyDescent="0.4">
      <c r="G145" s="24"/>
      <c r="H145" s="31"/>
      <c r="I145" s="24"/>
      <c r="J145" s="5" t="str">
        <f t="shared" si="89"/>
        <v/>
      </c>
      <c r="K145" s="24"/>
      <c r="L145" s="5" t="str">
        <f t="shared" si="90"/>
        <v/>
      </c>
      <c r="M145" s="27"/>
      <c r="N145" s="5" t="str">
        <f t="shared" si="117"/>
        <v/>
      </c>
      <c r="U145" s="6"/>
      <c r="V145" s="6"/>
      <c r="W145" s="6"/>
    </row>
    <row r="146" spans="7:23" x14ac:dyDescent="0.4">
      <c r="G146" s="24"/>
      <c r="H146" s="31"/>
      <c r="I146" s="24"/>
      <c r="J146" s="5" t="str">
        <f t="shared" si="89"/>
        <v/>
      </c>
      <c r="K146" s="24"/>
      <c r="L146" s="5" t="str">
        <f t="shared" si="90"/>
        <v/>
      </c>
      <c r="M146" s="27"/>
      <c r="N146" s="5" t="str">
        <f t="shared" si="117"/>
        <v/>
      </c>
      <c r="U146" s="6"/>
      <c r="V146" s="6"/>
      <c r="W146" s="6"/>
    </row>
    <row r="147" spans="7:23" x14ac:dyDescent="0.4">
      <c r="G147" s="24"/>
      <c r="H147" s="31"/>
      <c r="I147" s="24"/>
      <c r="J147" s="5" t="str">
        <f t="shared" ref="J147" si="118">IF(IF(EXACT(S147,I147)=TRUE,"Y","N")="Y","",VLOOKUP(IF(EXACT(S147,I147)=TRUE,"Y","N"),R147:S147,2,FALSE))</f>
        <v/>
      </c>
      <c r="K147" s="24"/>
      <c r="L147" s="5" t="str">
        <f t="shared" ref="L147:L160" si="119">IF(IF(EXACT(U147,K147)=TRUE,"Y","N")="Y","",VLOOKUP(IF(EXACT(U147,K147)=TRUE,"Y","N"),T147:U147,2,FALSE))</f>
        <v/>
      </c>
      <c r="M147" s="27"/>
      <c r="N147" s="5" t="str">
        <f t="shared" si="117"/>
        <v/>
      </c>
      <c r="U147" s="6"/>
      <c r="V147" s="6"/>
      <c r="W147" s="6"/>
    </row>
    <row r="148" spans="7:23" x14ac:dyDescent="0.4">
      <c r="G148" s="24"/>
      <c r="H148" s="31"/>
      <c r="I148" s="24"/>
      <c r="J148" s="24"/>
      <c r="K148" s="24"/>
      <c r="L148" s="5" t="str">
        <f t="shared" si="119"/>
        <v/>
      </c>
      <c r="M148" s="27"/>
      <c r="N148" s="5" t="str">
        <f t="shared" si="117"/>
        <v/>
      </c>
      <c r="U148" s="6"/>
      <c r="V148" s="6"/>
      <c r="W148" s="6"/>
    </row>
    <row r="149" spans="7:23" x14ac:dyDescent="0.4">
      <c r="G149" s="24"/>
      <c r="H149" s="31"/>
      <c r="I149" s="24"/>
      <c r="J149" s="24"/>
      <c r="K149" s="24"/>
      <c r="L149" s="5" t="str">
        <f t="shared" si="119"/>
        <v/>
      </c>
      <c r="M149" s="27"/>
      <c r="N149" s="5" t="str">
        <f t="shared" si="117"/>
        <v/>
      </c>
      <c r="U149" s="6"/>
      <c r="V149" s="6"/>
      <c r="W149" s="6"/>
    </row>
    <row r="150" spans="7:23" x14ac:dyDescent="0.4">
      <c r="G150" s="24"/>
      <c r="H150" s="31"/>
      <c r="I150" s="24"/>
      <c r="J150" s="24"/>
      <c r="K150" s="24"/>
      <c r="L150" s="5" t="str">
        <f t="shared" si="119"/>
        <v/>
      </c>
      <c r="M150" s="27"/>
      <c r="N150" s="5" t="str">
        <f t="shared" si="117"/>
        <v/>
      </c>
      <c r="U150" s="6"/>
      <c r="V150" s="6"/>
      <c r="W150" s="6"/>
    </row>
    <row r="151" spans="7:23" x14ac:dyDescent="0.4">
      <c r="G151" s="24"/>
      <c r="H151" s="31"/>
      <c r="I151" s="24"/>
      <c r="J151" s="24"/>
      <c r="K151" s="24"/>
      <c r="L151" s="5" t="str">
        <f t="shared" si="119"/>
        <v/>
      </c>
      <c r="M151" s="27"/>
      <c r="N151" s="5" t="str">
        <f t="shared" si="117"/>
        <v/>
      </c>
      <c r="U151" s="6"/>
      <c r="V151" s="6"/>
      <c r="W151" s="6"/>
    </row>
    <row r="152" spans="7:23" x14ac:dyDescent="0.4">
      <c r="G152" s="24"/>
      <c r="H152" s="24"/>
      <c r="I152" s="24"/>
      <c r="J152" s="24"/>
      <c r="K152" s="24"/>
      <c r="L152" s="5" t="str">
        <f t="shared" si="119"/>
        <v/>
      </c>
      <c r="M152" s="27"/>
      <c r="N152" s="5" t="str">
        <f t="shared" si="117"/>
        <v/>
      </c>
      <c r="U152" s="6"/>
      <c r="V152" s="6"/>
      <c r="W152" s="6"/>
    </row>
    <row r="153" spans="7:23" x14ac:dyDescent="0.4">
      <c r="G153" s="24"/>
      <c r="H153" s="24"/>
      <c r="I153" s="24"/>
      <c r="J153" s="24"/>
      <c r="K153" s="24"/>
      <c r="L153" s="5" t="str">
        <f t="shared" si="119"/>
        <v/>
      </c>
      <c r="M153" s="27"/>
      <c r="N153" s="5" t="str">
        <f t="shared" si="117"/>
        <v/>
      </c>
      <c r="U153" s="6"/>
      <c r="V153" s="6"/>
      <c r="W153" s="6"/>
    </row>
    <row r="154" spans="7:23" x14ac:dyDescent="0.4">
      <c r="G154" s="24"/>
      <c r="H154" s="24"/>
      <c r="I154" s="24"/>
      <c r="J154" s="24"/>
      <c r="K154" s="24"/>
      <c r="L154" s="5" t="str">
        <f t="shared" si="119"/>
        <v/>
      </c>
      <c r="M154" s="27"/>
      <c r="N154" s="5" t="str">
        <f t="shared" si="117"/>
        <v/>
      </c>
      <c r="U154" s="6"/>
      <c r="V154" s="6"/>
      <c r="W154" s="6"/>
    </row>
    <row r="155" spans="7:23" x14ac:dyDescent="0.4">
      <c r="G155" s="24"/>
      <c r="H155" s="24"/>
      <c r="I155" s="24"/>
      <c r="J155" s="24"/>
      <c r="K155" s="24"/>
      <c r="L155" s="5" t="str">
        <f t="shared" si="119"/>
        <v/>
      </c>
      <c r="M155" s="27"/>
      <c r="N155" s="5" t="str">
        <f t="shared" si="117"/>
        <v/>
      </c>
    </row>
    <row r="156" spans="7:23" x14ac:dyDescent="0.4">
      <c r="G156" s="24"/>
      <c r="H156" s="24"/>
      <c r="I156" s="24"/>
      <c r="J156" s="24"/>
      <c r="K156" s="24"/>
      <c r="L156" s="5" t="str">
        <f t="shared" si="119"/>
        <v/>
      </c>
      <c r="M156" s="27"/>
      <c r="N156" s="5" t="str">
        <f t="shared" si="117"/>
        <v/>
      </c>
    </row>
    <row r="157" spans="7:23" x14ac:dyDescent="0.4">
      <c r="G157" s="24"/>
      <c r="H157" s="24"/>
      <c r="I157" s="24"/>
      <c r="J157" s="24"/>
      <c r="K157" s="24"/>
      <c r="L157" s="5" t="str">
        <f t="shared" si="119"/>
        <v/>
      </c>
      <c r="M157" s="27"/>
      <c r="N157" s="5" t="str">
        <f t="shared" si="117"/>
        <v/>
      </c>
    </row>
    <row r="158" spans="7:23" x14ac:dyDescent="0.4">
      <c r="G158" s="24"/>
      <c r="H158" s="24"/>
      <c r="I158" s="24"/>
      <c r="J158" s="24"/>
      <c r="K158" s="24"/>
      <c r="L158" s="5" t="str">
        <f t="shared" si="119"/>
        <v/>
      </c>
      <c r="M158" s="27"/>
      <c r="N158" s="27"/>
    </row>
    <row r="159" spans="7:23" x14ac:dyDescent="0.4">
      <c r="G159" s="24"/>
      <c r="H159" s="24"/>
      <c r="I159" s="24"/>
      <c r="J159" s="24"/>
      <c r="K159" s="24"/>
      <c r="L159" s="5" t="str">
        <f t="shared" si="119"/>
        <v/>
      </c>
      <c r="M159" s="27"/>
      <c r="N159" s="27"/>
    </row>
    <row r="160" spans="7:23" x14ac:dyDescent="0.4">
      <c r="G160" s="24"/>
      <c r="H160" s="24"/>
      <c r="I160" s="24"/>
      <c r="J160" s="24"/>
      <c r="K160" s="24"/>
      <c r="L160" s="5" t="str">
        <f t="shared" si="119"/>
        <v/>
      </c>
      <c r="M160" s="27"/>
      <c r="N160" s="27"/>
    </row>
  </sheetData>
  <sheetProtection selectLockedCells="1"/>
  <mergeCells count="11">
    <mergeCell ref="R1:S1"/>
    <mergeCell ref="T1:U1"/>
    <mergeCell ref="V1:W1"/>
    <mergeCell ref="A32:D32"/>
    <mergeCell ref="A2:D3"/>
    <mergeCell ref="A19:D26"/>
    <mergeCell ref="G1:H1"/>
    <mergeCell ref="I1:J1"/>
    <mergeCell ref="K1:L1"/>
    <mergeCell ref="M1:N1"/>
    <mergeCell ref="P1:Q1"/>
  </mergeCells>
  <phoneticPr fontId="1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">
          <controlPr defaultSize="0" altText="" r:id="rId4">
            <anchor moveWithCells="1">
              <from>
                <xdr:col>0</xdr:col>
                <xdr:colOff>290513</xdr:colOff>
                <xdr:row>9</xdr:row>
                <xdr:rowOff>114300</xdr:rowOff>
              </from>
              <to>
                <xdr:col>1</xdr:col>
                <xdr:colOff>385763</xdr:colOff>
                <xdr:row>11</xdr:row>
                <xdr:rowOff>119063</xdr:rowOff>
              </to>
            </anchor>
          </controlPr>
        </control>
      </mc:Choice>
      <mc:Fallback>
        <control shapeId="2049" r:id="rId3" name="C"/>
      </mc:Fallback>
    </mc:AlternateContent>
    <mc:AlternateContent xmlns:mc="http://schemas.openxmlformats.org/markup-compatibility/2006">
      <mc:Choice Requires="x14">
        <control shapeId="2050" r:id="rId5" name="CommandButton1">
          <controlPr defaultSize="0" altText="" r:id="rId6">
            <anchor moveWithCells="1">
              <from>
                <xdr:col>1</xdr:col>
                <xdr:colOff>742950</xdr:colOff>
                <xdr:row>9</xdr:row>
                <xdr:rowOff>104775</xdr:rowOff>
              </from>
              <to>
                <xdr:col>3</xdr:col>
                <xdr:colOff>257175</xdr:colOff>
                <xdr:row>11</xdr:row>
                <xdr:rowOff>109538</xdr:rowOff>
              </to>
            </anchor>
          </controlPr>
        </control>
      </mc:Choice>
      <mc:Fallback>
        <control shapeId="2050" r:id="rId5" name="CommandButton1"/>
      </mc:Fallback>
    </mc:AlternateContent>
    <mc:AlternateContent xmlns:mc="http://schemas.openxmlformats.org/markup-compatibility/2006">
      <mc:Choice Requires="x14">
        <control shapeId="2051" r:id="rId7" name="CommandButton2">
          <controlPr defaultSize="0" altText="" r:id="rId8">
            <anchor moveWithCells="1">
              <from>
                <xdr:col>0</xdr:col>
                <xdr:colOff>300038</xdr:colOff>
                <xdr:row>12</xdr:row>
                <xdr:rowOff>42863</xdr:rowOff>
              </from>
              <to>
                <xdr:col>1</xdr:col>
                <xdr:colOff>395288</xdr:colOff>
                <xdr:row>14</xdr:row>
                <xdr:rowOff>47625</xdr:rowOff>
              </to>
            </anchor>
          </controlPr>
        </control>
      </mc:Choice>
      <mc:Fallback>
        <control shapeId="2051" r:id="rId7" name="CommandButton2"/>
      </mc:Fallback>
    </mc:AlternateContent>
    <mc:AlternateContent xmlns:mc="http://schemas.openxmlformats.org/markup-compatibility/2006">
      <mc:Choice Requires="x14">
        <control shapeId="2052" r:id="rId9" name="CommandButton3">
          <controlPr defaultSize="0" altText="" r:id="rId10">
            <anchor moveWithCells="1">
              <from>
                <xdr:col>1</xdr:col>
                <xdr:colOff>733425</xdr:colOff>
                <xdr:row>12</xdr:row>
                <xdr:rowOff>38100</xdr:rowOff>
              </from>
              <to>
                <xdr:col>3</xdr:col>
                <xdr:colOff>247650</xdr:colOff>
                <xdr:row>14</xdr:row>
                <xdr:rowOff>42863</xdr:rowOff>
              </to>
            </anchor>
          </controlPr>
        </control>
      </mc:Choice>
      <mc:Fallback>
        <control shapeId="2052" r:id="rId9" name="CommandButton3"/>
      </mc:Fallback>
    </mc:AlternateContent>
    <mc:AlternateContent xmlns:mc="http://schemas.openxmlformats.org/markup-compatibility/2006">
      <mc:Choice Requires="x14">
        <control shapeId="2053" r:id="rId11" name="CommandButton4">
          <controlPr defaultSize="0" altText="" r:id="rId12">
            <anchor moveWithCells="1">
              <from>
                <xdr:col>3</xdr:col>
                <xdr:colOff>523875</xdr:colOff>
                <xdr:row>9</xdr:row>
                <xdr:rowOff>90488</xdr:rowOff>
              </from>
              <to>
                <xdr:col>4</xdr:col>
                <xdr:colOff>552450</xdr:colOff>
                <xdr:row>11</xdr:row>
                <xdr:rowOff>95250</xdr:rowOff>
              </to>
            </anchor>
          </controlPr>
        </control>
      </mc:Choice>
      <mc:Fallback>
        <control shapeId="2053" r:id="rId11" name="CommandButton4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DJ300"/>
  <sheetViews>
    <sheetView workbookViewId="0">
      <selection activeCell="Z4" sqref="Z4"/>
    </sheetView>
  </sheetViews>
  <sheetFormatPr defaultColWidth="8.86328125" defaultRowHeight="13.9" x14ac:dyDescent="0.4"/>
  <cols>
    <col min="1" max="1" width="15.06640625" customWidth="1"/>
    <col min="2" max="2" width="14.19921875" customWidth="1"/>
    <col min="3" max="3" width="9" customWidth="1"/>
    <col min="4" max="4" width="16" customWidth="1"/>
    <col min="5" max="5" width="9.33203125" customWidth="1"/>
    <col min="6" max="6" width="15" customWidth="1"/>
    <col min="7" max="7" width="17.33203125" customWidth="1"/>
    <col min="8" max="8" width="21.33203125" customWidth="1"/>
    <col min="9" max="9" width="13.796875" customWidth="1"/>
    <col min="10" max="10" width="21" customWidth="1"/>
    <col min="11" max="11" width="13.33203125" customWidth="1"/>
    <col min="12" max="12" width="17.59765625" customWidth="1"/>
    <col min="13" max="13" width="14.1328125" style="6" customWidth="1"/>
    <col min="14" max="14" width="16.73046875" style="6" customWidth="1"/>
    <col min="15" max="15" width="15.46484375" style="6" customWidth="1"/>
    <col min="16" max="16" width="17.796875" style="6" customWidth="1"/>
    <col min="17" max="17" width="14.19921875" customWidth="1"/>
    <col min="18" max="18" width="16.265625" customWidth="1"/>
    <col min="19" max="19" width="14.33203125" customWidth="1"/>
    <col min="20" max="20" width="18.06640625" customWidth="1"/>
    <col min="21" max="21" width="14.53125" customWidth="1"/>
    <col min="22" max="22" width="18.796875" customWidth="1"/>
    <col min="23" max="23" width="13.46484375" customWidth="1"/>
    <col min="24" max="24" width="18.06640625" customWidth="1"/>
    <col min="25" max="25" width="12.33203125" customWidth="1"/>
    <col min="26" max="26" width="11.6640625" customWidth="1"/>
    <col min="28" max="28" width="13.46484375" customWidth="1"/>
    <col min="29" max="29" width="12.33203125" customWidth="1"/>
    <col min="30" max="30" width="15.33203125" customWidth="1"/>
    <col min="31" max="31" width="14.19921875" customWidth="1"/>
    <col min="33" max="33" width="24.1328125" customWidth="1"/>
    <col min="35" max="35" width="14.1328125" customWidth="1"/>
    <col min="49" max="49" width="20.1328125" customWidth="1"/>
    <col min="50" max="50" width="20.796875" customWidth="1"/>
    <col min="114" max="114" width="9.19921875"/>
  </cols>
  <sheetData>
    <row r="1" spans="1:114" x14ac:dyDescent="0.4">
      <c r="A1" s="7"/>
      <c r="B1" s="7"/>
      <c r="C1" s="7"/>
      <c r="D1" s="7"/>
      <c r="E1" s="7"/>
      <c r="F1" s="7"/>
      <c r="G1" s="55" t="s">
        <v>1515</v>
      </c>
      <c r="H1" s="55"/>
      <c r="I1" s="55" t="s">
        <v>1516</v>
      </c>
      <c r="J1" s="55"/>
      <c r="K1" s="55" t="s">
        <v>1517</v>
      </c>
      <c r="L1" s="55"/>
      <c r="M1" s="55" t="s">
        <v>1518</v>
      </c>
      <c r="N1" s="55"/>
      <c r="O1" s="55" t="s">
        <v>1519</v>
      </c>
      <c r="P1" s="55"/>
      <c r="Q1" s="55" t="s">
        <v>1520</v>
      </c>
      <c r="R1" s="55"/>
      <c r="S1" s="55" t="s">
        <v>1521</v>
      </c>
      <c r="T1" s="55"/>
      <c r="U1" s="55" t="s">
        <v>1522</v>
      </c>
      <c r="V1" s="55"/>
      <c r="W1" s="55" t="s">
        <v>1523</v>
      </c>
      <c r="X1" s="55"/>
      <c r="Y1" s="55" t="s">
        <v>1524</v>
      </c>
      <c r="Z1" s="55"/>
      <c r="AA1" s="55" t="s">
        <v>1525</v>
      </c>
      <c r="AB1" s="55"/>
      <c r="AC1" s="55" t="s">
        <v>1526</v>
      </c>
      <c r="AD1" s="55"/>
      <c r="AF1" s="56" t="s">
        <v>1527</v>
      </c>
      <c r="AG1" s="56"/>
      <c r="AH1" s="56" t="s">
        <v>1528</v>
      </c>
      <c r="AI1" s="56"/>
      <c r="AJ1" s="56" t="s">
        <v>1529</v>
      </c>
      <c r="AK1" s="56"/>
      <c r="AL1" s="56" t="s">
        <v>1530</v>
      </c>
      <c r="AM1" s="56"/>
      <c r="AN1" s="56" t="s">
        <v>1531</v>
      </c>
      <c r="AO1" s="56"/>
      <c r="AP1" s="56" t="s">
        <v>1532</v>
      </c>
      <c r="AQ1" s="56"/>
      <c r="AR1" s="56" t="s">
        <v>1533</v>
      </c>
      <c r="AS1" s="56"/>
      <c r="AT1" s="56" t="s">
        <v>1534</v>
      </c>
      <c r="AU1" s="56"/>
      <c r="AV1" s="56" t="s">
        <v>1535</v>
      </c>
      <c r="AW1" s="56"/>
      <c r="AX1" s="56" t="s">
        <v>1536</v>
      </c>
      <c r="AY1" s="56"/>
      <c r="AZ1" s="56" t="s">
        <v>1537</v>
      </c>
      <c r="BA1" s="56"/>
      <c r="BB1" s="56" t="s">
        <v>1538</v>
      </c>
      <c r="BC1" s="56"/>
    </row>
    <row r="2" spans="1:114" x14ac:dyDescent="0.4">
      <c r="A2" s="51" t="s">
        <v>18</v>
      </c>
      <c r="B2" s="48"/>
      <c r="C2" s="48"/>
      <c r="D2" s="48"/>
      <c r="E2" s="8"/>
      <c r="F2" s="7"/>
      <c r="G2" s="9" t="s">
        <v>19</v>
      </c>
      <c r="H2" s="9" t="s">
        <v>20</v>
      </c>
      <c r="I2" s="9" t="s">
        <v>19</v>
      </c>
      <c r="J2" s="9" t="s">
        <v>20</v>
      </c>
      <c r="K2" s="9" t="s">
        <v>19</v>
      </c>
      <c r="L2" s="9" t="s">
        <v>20</v>
      </c>
      <c r="M2" s="9" t="s">
        <v>19</v>
      </c>
      <c r="N2" s="9" t="s">
        <v>20</v>
      </c>
      <c r="O2" s="9" t="s">
        <v>19</v>
      </c>
      <c r="P2" s="9" t="s">
        <v>20</v>
      </c>
      <c r="Q2" s="9" t="s">
        <v>19</v>
      </c>
      <c r="R2" s="9" t="s">
        <v>20</v>
      </c>
      <c r="S2" s="9" t="s">
        <v>19</v>
      </c>
      <c r="T2" s="9" t="s">
        <v>20</v>
      </c>
      <c r="U2" s="9" t="s">
        <v>19</v>
      </c>
      <c r="V2" s="9" t="s">
        <v>20</v>
      </c>
      <c r="W2" s="9" t="s">
        <v>19</v>
      </c>
      <c r="X2" s="9" t="s">
        <v>20</v>
      </c>
      <c r="Y2" s="9" t="s">
        <v>19</v>
      </c>
      <c r="Z2" s="9" t="s">
        <v>20</v>
      </c>
      <c r="AA2" s="9" t="s">
        <v>19</v>
      </c>
      <c r="AB2" s="9" t="s">
        <v>20</v>
      </c>
      <c r="AC2" s="9" t="s">
        <v>19</v>
      </c>
      <c r="AD2" s="9" t="s">
        <v>20</v>
      </c>
      <c r="AF2" s="25" t="s">
        <v>21</v>
      </c>
      <c r="AG2" s="25" t="s">
        <v>22</v>
      </c>
      <c r="AH2" s="25" t="s">
        <v>21</v>
      </c>
      <c r="AI2" s="25" t="s">
        <v>22</v>
      </c>
      <c r="AJ2" s="25" t="s">
        <v>21</v>
      </c>
      <c r="AK2" s="25" t="s">
        <v>22</v>
      </c>
      <c r="AL2" s="25" t="s">
        <v>21</v>
      </c>
      <c r="AM2" s="25" t="s">
        <v>22</v>
      </c>
      <c r="AN2" s="25" t="s">
        <v>21</v>
      </c>
      <c r="AO2" s="25" t="s">
        <v>22</v>
      </c>
      <c r="AP2" s="25" t="s">
        <v>21</v>
      </c>
      <c r="AQ2" s="25" t="s">
        <v>22</v>
      </c>
      <c r="AR2" s="25" t="s">
        <v>21</v>
      </c>
      <c r="AS2" s="25" t="s">
        <v>22</v>
      </c>
      <c r="AT2" s="25" t="s">
        <v>21</v>
      </c>
      <c r="AU2" s="25" t="s">
        <v>22</v>
      </c>
      <c r="AV2" s="25" t="s">
        <v>21</v>
      </c>
      <c r="AW2" s="25" t="s">
        <v>22</v>
      </c>
      <c r="AX2" s="25" t="s">
        <v>21</v>
      </c>
      <c r="AY2" s="25" t="s">
        <v>22</v>
      </c>
      <c r="AZ2" s="25" t="s">
        <v>21</v>
      </c>
      <c r="BA2" s="25" t="s">
        <v>22</v>
      </c>
      <c r="BB2" s="25" t="s">
        <v>21</v>
      </c>
      <c r="BC2" s="25" t="s">
        <v>22</v>
      </c>
      <c r="DJ2" t="e">
        <f>VLOOKUP(1,#REF!,2,FALSE)</f>
        <v>#REF!</v>
      </c>
    </row>
    <row r="3" spans="1:114" x14ac:dyDescent="0.4">
      <c r="A3" s="48"/>
      <c r="B3" s="48"/>
      <c r="C3" s="48"/>
      <c r="D3" s="48"/>
      <c r="E3" s="47" t="s">
        <v>23</v>
      </c>
      <c r="F3" s="48"/>
      <c r="G3" s="10" t="s">
        <v>1539</v>
      </c>
      <c r="H3" s="5" t="str">
        <f>IF(IF(EXACT(AG3,G3)=TRUE,"Y","N")="Y","",VLOOKUP(IF(EXACT(AG3,G3)=TRUE,"Y","N"),AF3:AG3,2,FALSE))</f>
        <v/>
      </c>
      <c r="I3" s="26" t="s">
        <v>1540</v>
      </c>
      <c r="J3" s="5" t="str">
        <f t="shared" ref="J3:L3" si="0">IF(IF(EXACT(AI3,I3)=TRUE,"Y","N")="Y","",VLOOKUP(IF(EXACT(AI3,I3)=TRUE,"Y","N"),AH3:AI3,2,FALSE))</f>
        <v/>
      </c>
      <c r="K3" s="10" t="s">
        <v>1541</v>
      </c>
      <c r="L3" s="5" t="str">
        <f t="shared" si="0"/>
        <v/>
      </c>
      <c r="M3" s="10" t="s">
        <v>1542</v>
      </c>
      <c r="N3" s="5" t="str">
        <f>IF(IF(EXACT(AM3,M3)=TRUE,"Y","N")="Y","",VLOOKUP(IF(EXACT(AM3,M3)=TRUE,"Y","N"),AL3:AM3,2,FALSE))</f>
        <v/>
      </c>
      <c r="O3" s="28" t="s">
        <v>1543</v>
      </c>
      <c r="P3" s="5" t="str">
        <f>IF(IF(EXACT(AO3,O3)=TRUE,"Y","N")="Y","",VLOOKUP(IF(EXACT(AO3,O3)=TRUE,"Y","N"),AN3:AO3,2,FALSE))</f>
        <v/>
      </c>
      <c r="Q3" s="26" t="s">
        <v>1544</v>
      </c>
      <c r="R3" s="5" t="str">
        <f>IF(IF(EXACT(AQ3,Q3)=TRUE,"Y","N")="Y","",VLOOKUP(IF(EXACT(AQ3,Q3)=TRUE,"Y","N"),AP3:AQ3,2,FALSE))</f>
        <v/>
      </c>
      <c r="S3" s="26" t="s">
        <v>1545</v>
      </c>
      <c r="T3" s="5" t="str">
        <f t="shared" ref="T3:X3" si="1">IF(IF(EXACT(AS3,S3)=TRUE,"Y","N")="Y","",VLOOKUP(IF(EXACT(AS3,S3)=TRUE,"Y","N"),AR3:AS3,2,FALSE))</f>
        <v/>
      </c>
      <c r="U3" s="26" t="s">
        <v>1546</v>
      </c>
      <c r="V3" s="5" t="str">
        <f t="shared" si="1"/>
        <v/>
      </c>
      <c r="W3" s="26" t="s">
        <v>1547</v>
      </c>
      <c r="X3" s="5" t="str">
        <f t="shared" si="1"/>
        <v/>
      </c>
      <c r="Y3" s="26" t="s">
        <v>1548</v>
      </c>
      <c r="Z3" s="5" t="str">
        <f t="shared" ref="Z3:AD3" si="2">IF(IF(EXACT(AY3,Y3)=TRUE,"Y","N")="Y","",VLOOKUP(IF(EXACT(AY3,Y3)=TRUE,"Y","N"),AX3:AY3,2,FALSE))</f>
        <v/>
      </c>
      <c r="AA3" s="26" t="s">
        <v>1549</v>
      </c>
      <c r="AB3" s="5" t="str">
        <f t="shared" si="2"/>
        <v/>
      </c>
      <c r="AC3" s="26" t="s">
        <v>1550</v>
      </c>
      <c r="AD3" s="5" t="str">
        <f t="shared" si="2"/>
        <v/>
      </c>
      <c r="AF3" s="6" t="str">
        <f t="shared" ref="AF3:AJ3" si="3">IF(EXACT(AG3,G3)=TRUE,"Y","N")</f>
        <v>Y</v>
      </c>
      <c r="AG3" s="6" t="s">
        <v>1539</v>
      </c>
      <c r="AH3" t="str">
        <f t="shared" si="3"/>
        <v>Y</v>
      </c>
      <c r="AI3" t="s">
        <v>1540</v>
      </c>
      <c r="AJ3" t="str">
        <f t="shared" si="3"/>
        <v>Y</v>
      </c>
      <c r="AK3" s="6" t="s">
        <v>1541</v>
      </c>
      <c r="AL3" s="6" t="str">
        <f t="shared" ref="AL3:AP3" si="4">IF(EXACT(AM3,M3)=TRUE,"Y","N")</f>
        <v>Y</v>
      </c>
      <c r="AM3" s="6" t="s">
        <v>1542</v>
      </c>
      <c r="AN3" s="6" t="str">
        <f t="shared" si="4"/>
        <v>Y</v>
      </c>
      <c r="AO3" s="29" t="s">
        <v>1543</v>
      </c>
      <c r="AP3" t="str">
        <f t="shared" si="4"/>
        <v>Y</v>
      </c>
      <c r="AQ3" t="s">
        <v>1544</v>
      </c>
      <c r="AR3" t="str">
        <f t="shared" ref="AR3:AV3" si="5">IF(EXACT(AS3,S3)=TRUE,"Y","N")</f>
        <v>Y</v>
      </c>
      <c r="AS3" t="s">
        <v>1545</v>
      </c>
      <c r="AT3" t="str">
        <f t="shared" si="5"/>
        <v>Y</v>
      </c>
      <c r="AU3" t="s">
        <v>1546</v>
      </c>
      <c r="AV3" t="str">
        <f t="shared" si="5"/>
        <v>Y</v>
      </c>
      <c r="AW3" t="s">
        <v>1547</v>
      </c>
      <c r="AX3" t="str">
        <f t="shared" ref="AX3:BB3" si="6">IF(EXACT(AY3,Y3)=TRUE,"Y","N")</f>
        <v>Y</v>
      </c>
      <c r="AY3" t="s">
        <v>1548</v>
      </c>
      <c r="AZ3" t="str">
        <f t="shared" si="6"/>
        <v>Y</v>
      </c>
      <c r="BA3" t="s">
        <v>1549</v>
      </c>
      <c r="BB3" t="str">
        <f t="shared" si="6"/>
        <v>Y</v>
      </c>
      <c r="BC3" t="s">
        <v>1550</v>
      </c>
    </row>
    <row r="4" spans="1:114" x14ac:dyDescent="0.4">
      <c r="A4" s="2" t="s">
        <v>33</v>
      </c>
      <c r="B4" s="3" t="s">
        <v>34</v>
      </c>
      <c r="C4" s="3" t="s">
        <v>35</v>
      </c>
      <c r="D4" s="4" t="s">
        <v>36</v>
      </c>
      <c r="E4" s="8"/>
      <c r="F4" s="7"/>
      <c r="G4" s="6"/>
      <c r="H4" s="5"/>
      <c r="I4" s="24"/>
      <c r="J4" s="5"/>
      <c r="K4" s="24"/>
      <c r="L4" s="5"/>
      <c r="M4" s="27"/>
      <c r="N4" s="5"/>
      <c r="O4" s="27"/>
      <c r="P4" s="5"/>
      <c r="Q4" s="24"/>
      <c r="R4" s="5"/>
      <c r="S4" s="24"/>
      <c r="T4" s="5"/>
      <c r="U4" s="24"/>
      <c r="V4" s="5"/>
      <c r="W4" s="24"/>
      <c r="X4" s="5"/>
      <c r="Z4" s="5"/>
      <c r="AB4" s="5"/>
      <c r="AD4" s="5"/>
      <c r="AF4" s="6" t="str">
        <f t="shared" ref="AF4:AJ4" si="7">IF(EXACT(AG4,G4)=TRUE,"Y","N")</f>
        <v>N</v>
      </c>
      <c r="AG4" s="6" t="s">
        <v>1551</v>
      </c>
      <c r="AH4" t="str">
        <f t="shared" si="7"/>
        <v>N</v>
      </c>
      <c r="AI4" t="s">
        <v>1552</v>
      </c>
      <c r="AJ4" t="str">
        <f t="shared" si="7"/>
        <v>N</v>
      </c>
      <c r="AK4" s="6" t="s">
        <v>1553</v>
      </c>
      <c r="AL4" s="6" t="str">
        <f t="shared" ref="AL4:AP4" si="8">IF(EXACT(AM4,M4)=TRUE,"Y","N")</f>
        <v>N</v>
      </c>
      <c r="AM4" s="6" t="s">
        <v>1554</v>
      </c>
      <c r="AN4" s="6" t="str">
        <f t="shared" si="8"/>
        <v>N</v>
      </c>
      <c r="AO4" s="29" t="s">
        <v>1555</v>
      </c>
      <c r="AP4" t="str">
        <f t="shared" si="8"/>
        <v>N</v>
      </c>
      <c r="AQ4" t="s">
        <v>1556</v>
      </c>
      <c r="AR4" t="str">
        <f t="shared" ref="AR4:AV4" si="9">IF(EXACT(AS4,S4)=TRUE,"Y","N")</f>
        <v>N</v>
      </c>
      <c r="AS4" t="s">
        <v>1557</v>
      </c>
      <c r="AT4" t="str">
        <f t="shared" si="9"/>
        <v>N</v>
      </c>
      <c r="AU4" t="s">
        <v>1558</v>
      </c>
      <c r="AV4" t="str">
        <f t="shared" si="9"/>
        <v>N</v>
      </c>
      <c r="AW4" t="s">
        <v>1559</v>
      </c>
      <c r="AX4" t="str">
        <f t="shared" ref="AX4:BB4" si="10">IF(EXACT(AY4,Y4)=TRUE,"Y","N")</f>
        <v>N</v>
      </c>
      <c r="AY4" t="s">
        <v>1560</v>
      </c>
      <c r="AZ4" t="str">
        <f t="shared" si="10"/>
        <v>N</v>
      </c>
      <c r="BA4" t="s">
        <v>1561</v>
      </c>
      <c r="BB4" t="str">
        <f t="shared" si="10"/>
        <v>N</v>
      </c>
      <c r="BC4" t="s">
        <v>1562</v>
      </c>
    </row>
    <row r="5" spans="1:114" x14ac:dyDescent="0.4">
      <c r="A5" s="11" t="s">
        <v>1563</v>
      </c>
      <c r="B5" s="12">
        <f>COUNTA(AG3:AG116)</f>
        <v>114</v>
      </c>
      <c r="C5" s="12">
        <f>COUNTBLANK(H3:H116)</f>
        <v>114</v>
      </c>
      <c r="D5" s="13">
        <f t="shared" ref="D5:D17" si="11">C5/B5</f>
        <v>1</v>
      </c>
      <c r="E5" s="8"/>
      <c r="F5" s="7"/>
      <c r="G5" s="6"/>
      <c r="H5" s="5"/>
      <c r="I5" s="24"/>
      <c r="J5" s="5"/>
      <c r="K5" s="24"/>
      <c r="L5" s="5"/>
      <c r="M5" s="27"/>
      <c r="N5" s="5"/>
      <c r="O5" s="27"/>
      <c r="P5" s="5"/>
      <c r="Q5" s="24"/>
      <c r="R5" s="5"/>
      <c r="S5" s="24"/>
      <c r="T5" s="5"/>
      <c r="U5" s="24"/>
      <c r="V5" s="5"/>
      <c r="W5" s="24"/>
      <c r="X5" s="5"/>
      <c r="Z5" s="5"/>
      <c r="AB5" s="5"/>
      <c r="AD5" s="5"/>
      <c r="AF5" s="6" t="str">
        <f t="shared" ref="AF5:AJ5" si="12">IF(EXACT(AG5,G5)=TRUE,"Y","N")</f>
        <v>N</v>
      </c>
      <c r="AG5" s="6" t="s">
        <v>1564</v>
      </c>
      <c r="AH5" t="str">
        <f t="shared" si="12"/>
        <v>N</v>
      </c>
      <c r="AI5" t="s">
        <v>1565</v>
      </c>
      <c r="AJ5" t="str">
        <f t="shared" si="12"/>
        <v>N</v>
      </c>
      <c r="AK5" s="6" t="s">
        <v>1566</v>
      </c>
      <c r="AL5" s="6" t="str">
        <f t="shared" ref="AL5:AP5" si="13">IF(EXACT(AM5,M5)=TRUE,"Y","N")</f>
        <v>N</v>
      </c>
      <c r="AM5" s="6" t="s">
        <v>1567</v>
      </c>
      <c r="AN5" s="6" t="str">
        <f t="shared" si="13"/>
        <v>N</v>
      </c>
      <c r="AO5" s="29" t="s">
        <v>1568</v>
      </c>
      <c r="AP5" t="str">
        <f t="shared" si="13"/>
        <v>N</v>
      </c>
      <c r="AQ5" t="s">
        <v>1569</v>
      </c>
      <c r="AR5" t="str">
        <f t="shared" ref="AR5:AV5" si="14">IF(EXACT(AS5,S5)=TRUE,"Y","N")</f>
        <v>N</v>
      </c>
      <c r="AS5" t="s">
        <v>1570</v>
      </c>
      <c r="AT5" t="str">
        <f t="shared" si="14"/>
        <v>N</v>
      </c>
      <c r="AU5" t="s">
        <v>1571</v>
      </c>
      <c r="AV5" t="str">
        <f t="shared" si="14"/>
        <v>N</v>
      </c>
      <c r="AW5" t="s">
        <v>1572</v>
      </c>
      <c r="AX5" t="str">
        <f t="shared" ref="AX5:BB5" si="15">IF(EXACT(AY5,Y5)=TRUE,"Y","N")</f>
        <v>N</v>
      </c>
      <c r="AY5" t="s">
        <v>1573</v>
      </c>
      <c r="AZ5" t="str">
        <f t="shared" si="15"/>
        <v>N</v>
      </c>
      <c r="BA5" t="s">
        <v>1574</v>
      </c>
      <c r="BB5" t="str">
        <f t="shared" si="15"/>
        <v>N</v>
      </c>
      <c r="BC5" t="s">
        <v>1183</v>
      </c>
    </row>
    <row r="6" spans="1:114" x14ac:dyDescent="0.4">
      <c r="A6" s="11" t="s">
        <v>1575</v>
      </c>
      <c r="B6" s="15">
        <f>COUNTA(AI3:AI145)</f>
        <v>111</v>
      </c>
      <c r="C6" s="15">
        <f>COUNTBLANK(J3:J113)</f>
        <v>111</v>
      </c>
      <c r="D6" s="16">
        <f t="shared" si="11"/>
        <v>1</v>
      </c>
      <c r="E6" s="8"/>
      <c r="F6" s="7"/>
      <c r="G6" s="6"/>
      <c r="H6" s="5"/>
      <c r="I6" s="24"/>
      <c r="J6" s="5"/>
      <c r="K6" s="24"/>
      <c r="L6" s="5"/>
      <c r="M6" s="27"/>
      <c r="N6" s="5"/>
      <c r="O6" s="27"/>
      <c r="P6" s="5"/>
      <c r="Q6" s="24"/>
      <c r="R6" s="5"/>
      <c r="S6" s="24"/>
      <c r="T6" s="5"/>
      <c r="U6" s="24"/>
      <c r="V6" s="5"/>
      <c r="W6" s="24"/>
      <c r="X6" s="5"/>
      <c r="Z6" s="5"/>
      <c r="AB6" s="5"/>
      <c r="AD6" s="5"/>
      <c r="AF6" s="6" t="str">
        <f t="shared" ref="AF6:AF69" si="16">IF(EXACT(AG6,AM6)=TRUE,"Y","N")</f>
        <v>N</v>
      </c>
      <c r="AG6" s="6" t="s">
        <v>1576</v>
      </c>
      <c r="AH6" t="str">
        <f t="shared" ref="AH6:AL6" si="17">IF(EXACT(AI6,I6)=TRUE,"Y","N")</f>
        <v>N</v>
      </c>
      <c r="AI6" t="s">
        <v>1577</v>
      </c>
      <c r="AJ6" t="str">
        <f t="shared" si="17"/>
        <v>N</v>
      </c>
      <c r="AK6" s="6" t="s">
        <v>1578</v>
      </c>
      <c r="AL6" s="6" t="str">
        <f t="shared" si="17"/>
        <v>N</v>
      </c>
      <c r="AM6" s="6" t="s">
        <v>1579</v>
      </c>
      <c r="AN6" s="6" t="str">
        <f t="shared" ref="AN6:AR6" si="18">IF(EXACT(AO6,O6)=TRUE,"Y","N")</f>
        <v>N</v>
      </c>
      <c r="AO6" s="29" t="s">
        <v>1580</v>
      </c>
      <c r="AP6" t="str">
        <f t="shared" si="18"/>
        <v>N</v>
      </c>
      <c r="AQ6" t="s">
        <v>1581</v>
      </c>
      <c r="AR6" t="str">
        <f t="shared" si="18"/>
        <v>N</v>
      </c>
      <c r="AS6" t="s">
        <v>1582</v>
      </c>
      <c r="AT6" t="str">
        <f t="shared" ref="AT6:AT69" si="19">IF(EXACT(AU6,U6)=TRUE,"Y","N")</f>
        <v>N</v>
      </c>
      <c r="AU6" t="s">
        <v>1583</v>
      </c>
      <c r="AV6" t="str">
        <f t="shared" ref="AV6:AV69" si="20">IF(EXACT(AW6,W6)=TRUE,"Y","N")</f>
        <v>N</v>
      </c>
      <c r="AW6" t="s">
        <v>1584</v>
      </c>
      <c r="AX6" t="str">
        <f t="shared" ref="AX6:BB6" si="21">IF(EXACT(AY6,Y6)=TRUE,"Y","N")</f>
        <v>N</v>
      </c>
      <c r="AY6" t="s">
        <v>1585</v>
      </c>
      <c r="AZ6" t="str">
        <f t="shared" si="21"/>
        <v>N</v>
      </c>
      <c r="BA6" t="s">
        <v>1586</v>
      </c>
      <c r="BB6" t="str">
        <f t="shared" si="21"/>
        <v>N</v>
      </c>
      <c r="BC6" t="s">
        <v>1587</v>
      </c>
    </row>
    <row r="7" spans="1:114" x14ac:dyDescent="0.4">
      <c r="A7" s="11" t="s">
        <v>1588</v>
      </c>
      <c r="B7" s="18">
        <f>COUNTA(AK3:AK150)</f>
        <v>114</v>
      </c>
      <c r="C7" s="18">
        <f>COUNTBLANK(L3:L116)</f>
        <v>114</v>
      </c>
      <c r="D7" s="19">
        <f t="shared" si="11"/>
        <v>1</v>
      </c>
      <c r="E7" s="8"/>
      <c r="F7" s="7"/>
      <c r="G7" s="6"/>
      <c r="H7" s="5"/>
      <c r="I7" s="24"/>
      <c r="J7" s="5"/>
      <c r="K7" s="24"/>
      <c r="L7" s="5"/>
      <c r="M7" s="27"/>
      <c r="N7" s="5"/>
      <c r="O7" s="27"/>
      <c r="P7" s="5"/>
      <c r="Q7" s="24"/>
      <c r="R7" s="5"/>
      <c r="S7" s="24"/>
      <c r="T7" s="5"/>
      <c r="U7" s="24"/>
      <c r="V7" s="5"/>
      <c r="W7" s="24"/>
      <c r="X7" s="5"/>
      <c r="Z7" s="5"/>
      <c r="AB7" s="5"/>
      <c r="AD7" s="5"/>
      <c r="AF7" s="6" t="str">
        <f t="shared" si="16"/>
        <v>N</v>
      </c>
      <c r="AG7" s="6" t="s">
        <v>1589</v>
      </c>
      <c r="AH7" t="str">
        <f t="shared" ref="AH7:AL7" si="22">IF(EXACT(AI7,I7)=TRUE,"Y","N")</f>
        <v>N</v>
      </c>
      <c r="AI7" t="s">
        <v>1590</v>
      </c>
      <c r="AJ7" t="str">
        <f t="shared" si="22"/>
        <v>N</v>
      </c>
      <c r="AK7" s="6" t="s">
        <v>1591</v>
      </c>
      <c r="AL7" s="6" t="str">
        <f t="shared" si="22"/>
        <v>N</v>
      </c>
      <c r="AM7" s="6" t="s">
        <v>1592</v>
      </c>
      <c r="AN7" s="6" t="str">
        <f t="shared" ref="AN7:AR7" si="23">IF(EXACT(AO7,O7)=TRUE,"Y","N")</f>
        <v>N</v>
      </c>
      <c r="AO7" s="29" t="s">
        <v>1593</v>
      </c>
      <c r="AP7" t="str">
        <f t="shared" si="23"/>
        <v>N</v>
      </c>
      <c r="AQ7" t="s">
        <v>1594</v>
      </c>
      <c r="AR7" t="str">
        <f t="shared" si="23"/>
        <v>N</v>
      </c>
      <c r="AS7" t="s">
        <v>1595</v>
      </c>
      <c r="AT7" t="str">
        <f t="shared" si="19"/>
        <v>N</v>
      </c>
      <c r="AU7" t="s">
        <v>1596</v>
      </c>
      <c r="AV7" t="str">
        <f t="shared" si="20"/>
        <v>N</v>
      </c>
      <c r="AW7" t="s">
        <v>1597</v>
      </c>
      <c r="AX7" t="str">
        <f t="shared" ref="AX7:BB7" si="24">IF(EXACT(AY7,Y7)=TRUE,"Y","N")</f>
        <v>N</v>
      </c>
      <c r="AY7" t="s">
        <v>1598</v>
      </c>
      <c r="AZ7" t="str">
        <f t="shared" si="24"/>
        <v>N</v>
      </c>
      <c r="BA7" t="s">
        <v>1599</v>
      </c>
      <c r="BB7" t="str">
        <f t="shared" si="24"/>
        <v>N</v>
      </c>
      <c r="BC7" t="s">
        <v>1600</v>
      </c>
    </row>
    <row r="8" spans="1:114" x14ac:dyDescent="0.4">
      <c r="A8" s="11" t="s">
        <v>1601</v>
      </c>
      <c r="B8" s="15">
        <f>COUNTA(AM3:AM200)</f>
        <v>105</v>
      </c>
      <c r="C8" s="15">
        <f>COUNTBLANK(N3:N107)</f>
        <v>105</v>
      </c>
      <c r="D8" s="16">
        <f t="shared" si="11"/>
        <v>1</v>
      </c>
      <c r="E8" s="8"/>
      <c r="F8" s="7"/>
      <c r="G8" s="6"/>
      <c r="H8" s="5"/>
      <c r="I8" s="24"/>
      <c r="J8" s="5"/>
      <c r="K8" s="24"/>
      <c r="L8" s="5"/>
      <c r="M8" s="27"/>
      <c r="N8" s="5"/>
      <c r="O8" s="27"/>
      <c r="P8" s="5"/>
      <c r="Q8" s="24"/>
      <c r="R8" s="5"/>
      <c r="S8" s="24"/>
      <c r="T8" s="5"/>
      <c r="U8" s="24"/>
      <c r="V8" s="5"/>
      <c r="W8" s="24"/>
      <c r="X8" s="5"/>
      <c r="Z8" s="5"/>
      <c r="AB8" s="5"/>
      <c r="AD8" s="5"/>
      <c r="AF8" s="6" t="str">
        <f t="shared" si="16"/>
        <v>N</v>
      </c>
      <c r="AG8" s="6" t="s">
        <v>1602</v>
      </c>
      <c r="AH8" t="str">
        <f t="shared" ref="AH8:AL8" si="25">IF(EXACT(AI8,I8)=TRUE,"Y","N")</f>
        <v>N</v>
      </c>
      <c r="AI8" t="s">
        <v>1603</v>
      </c>
      <c r="AJ8" t="str">
        <f t="shared" si="25"/>
        <v>N</v>
      </c>
      <c r="AK8" s="6" t="s">
        <v>1604</v>
      </c>
      <c r="AL8" s="6" t="str">
        <f t="shared" si="25"/>
        <v>N</v>
      </c>
      <c r="AM8" s="6" t="s">
        <v>1605</v>
      </c>
      <c r="AN8" s="6" t="str">
        <f t="shared" ref="AN8:AR8" si="26">IF(EXACT(AO8,O8)=TRUE,"Y","N")</f>
        <v>N</v>
      </c>
      <c r="AO8" s="29" t="s">
        <v>1606</v>
      </c>
      <c r="AP8" t="str">
        <f t="shared" si="26"/>
        <v>N</v>
      </c>
      <c r="AQ8" t="s">
        <v>1607</v>
      </c>
      <c r="AR8" t="str">
        <f t="shared" si="26"/>
        <v>N</v>
      </c>
      <c r="AS8" t="s">
        <v>1608</v>
      </c>
      <c r="AT8" t="str">
        <f t="shared" si="19"/>
        <v>N</v>
      </c>
      <c r="AU8" t="s">
        <v>1609</v>
      </c>
      <c r="AV8" t="str">
        <f t="shared" si="20"/>
        <v>N</v>
      </c>
      <c r="AW8" t="s">
        <v>1610</v>
      </c>
      <c r="AX8" t="str">
        <f t="shared" ref="AX8:BB8" si="27">IF(EXACT(AY8,Y8)=TRUE,"Y","N")</f>
        <v>N</v>
      </c>
      <c r="AY8" t="s">
        <v>1611</v>
      </c>
      <c r="AZ8" t="str">
        <f t="shared" si="27"/>
        <v>N</v>
      </c>
      <c r="BA8" t="s">
        <v>1612</v>
      </c>
      <c r="BB8" t="str">
        <f t="shared" si="27"/>
        <v>N</v>
      </c>
      <c r="BC8" t="s">
        <v>1613</v>
      </c>
    </row>
    <row r="9" spans="1:114" x14ac:dyDescent="0.4">
      <c r="A9" s="11" t="s">
        <v>1614</v>
      </c>
      <c r="B9" s="18">
        <f>COUNTA(AO3:AO200)</f>
        <v>100</v>
      </c>
      <c r="C9" s="18">
        <f>COUNTBLANK(P3:P102)</f>
        <v>100</v>
      </c>
      <c r="D9" s="19">
        <f t="shared" si="11"/>
        <v>1</v>
      </c>
      <c r="E9" s="8"/>
      <c r="F9" s="7"/>
      <c r="G9" s="6"/>
      <c r="H9" s="5"/>
      <c r="I9" s="24"/>
      <c r="J9" s="5"/>
      <c r="K9" s="24"/>
      <c r="L9" s="5"/>
      <c r="M9" s="27"/>
      <c r="N9" s="5"/>
      <c r="O9" s="27"/>
      <c r="P9" s="5"/>
      <c r="Q9" s="24"/>
      <c r="R9" s="5"/>
      <c r="S9" s="24"/>
      <c r="T9" s="5"/>
      <c r="U9" s="24"/>
      <c r="V9" s="5"/>
      <c r="W9" s="24"/>
      <c r="X9" s="5"/>
      <c r="Z9" s="5"/>
      <c r="AB9" s="5"/>
      <c r="AD9" s="5"/>
      <c r="AF9" s="6" t="str">
        <f t="shared" si="16"/>
        <v>N</v>
      </c>
      <c r="AG9" s="6" t="s">
        <v>1615</v>
      </c>
      <c r="AH9" t="str">
        <f t="shared" ref="AH9:AL9" si="28">IF(EXACT(AI9,I9)=TRUE,"Y","N")</f>
        <v>N</v>
      </c>
      <c r="AI9" t="s">
        <v>1616</v>
      </c>
      <c r="AJ9" t="str">
        <f t="shared" si="28"/>
        <v>N</v>
      </c>
      <c r="AK9" s="6" t="s">
        <v>1617</v>
      </c>
      <c r="AL9" s="6" t="str">
        <f t="shared" si="28"/>
        <v>N</v>
      </c>
      <c r="AM9" s="6" t="s">
        <v>1618</v>
      </c>
      <c r="AN9" s="6" t="str">
        <f t="shared" ref="AN9:AR9" si="29">IF(EXACT(AO9,O9)=TRUE,"Y","N")</f>
        <v>N</v>
      </c>
      <c r="AO9" s="29" t="s">
        <v>1619</v>
      </c>
      <c r="AP9" t="str">
        <f t="shared" si="29"/>
        <v>N</v>
      </c>
      <c r="AQ9" t="s">
        <v>1620</v>
      </c>
      <c r="AR9" t="str">
        <f t="shared" si="29"/>
        <v>N</v>
      </c>
      <c r="AS9" t="s">
        <v>1621</v>
      </c>
      <c r="AT9" t="str">
        <f t="shared" si="19"/>
        <v>N</v>
      </c>
      <c r="AU9" t="s">
        <v>1622</v>
      </c>
      <c r="AV9" t="str">
        <f t="shared" si="20"/>
        <v>N</v>
      </c>
      <c r="AW9" t="s">
        <v>1623</v>
      </c>
      <c r="AX9" t="str">
        <f t="shared" ref="AX9:BB9" si="30">IF(EXACT(AY9,Y9)=TRUE,"Y","N")</f>
        <v>N</v>
      </c>
      <c r="AY9" t="s">
        <v>1624</v>
      </c>
      <c r="AZ9" t="str">
        <f t="shared" si="30"/>
        <v>N</v>
      </c>
      <c r="BA9" t="s">
        <v>1625</v>
      </c>
      <c r="BB9" t="str">
        <f t="shared" si="30"/>
        <v>N</v>
      </c>
      <c r="BC9" t="s">
        <v>1626</v>
      </c>
    </row>
    <row r="10" spans="1:114" x14ac:dyDescent="0.4">
      <c r="A10" s="11" t="s">
        <v>1627</v>
      </c>
      <c r="B10" s="15">
        <f>COUNTA(AQ3:AQ199)</f>
        <v>108</v>
      </c>
      <c r="C10" s="15">
        <f>COUNTBLANK(R3:R110)</f>
        <v>108</v>
      </c>
      <c r="D10" s="16">
        <f t="shared" si="11"/>
        <v>1</v>
      </c>
      <c r="E10" s="8"/>
      <c r="F10" s="7"/>
      <c r="G10" s="6"/>
      <c r="H10" s="5"/>
      <c r="I10" s="24"/>
      <c r="J10" s="5"/>
      <c r="K10" s="24"/>
      <c r="L10" s="5"/>
      <c r="M10" s="27"/>
      <c r="N10" s="5"/>
      <c r="O10" s="27"/>
      <c r="P10" s="5"/>
      <c r="Q10" s="24"/>
      <c r="R10" s="5"/>
      <c r="S10" s="24"/>
      <c r="T10" s="5"/>
      <c r="U10" s="24"/>
      <c r="V10" s="5"/>
      <c r="W10" s="24"/>
      <c r="X10" s="5"/>
      <c r="Z10" s="5"/>
      <c r="AB10" s="5"/>
      <c r="AD10" s="5"/>
      <c r="AF10" s="6" t="str">
        <f t="shared" si="16"/>
        <v>N</v>
      </c>
      <c r="AG10" s="6" t="s">
        <v>1628</v>
      </c>
      <c r="AH10" t="str">
        <f t="shared" ref="AH10:AL10" si="31">IF(EXACT(AI10,I10)=TRUE,"Y","N")</f>
        <v>N</v>
      </c>
      <c r="AI10" t="s">
        <v>1629</v>
      </c>
      <c r="AJ10" t="str">
        <f t="shared" si="31"/>
        <v>N</v>
      </c>
      <c r="AK10" s="6" t="s">
        <v>1630</v>
      </c>
      <c r="AL10" s="6" t="str">
        <f t="shared" si="31"/>
        <v>N</v>
      </c>
      <c r="AM10" s="6" t="s">
        <v>1631</v>
      </c>
      <c r="AN10" s="6" t="str">
        <f t="shared" ref="AN10:AR10" si="32">IF(EXACT(AO10,O10)=TRUE,"Y","N")</f>
        <v>N</v>
      </c>
      <c r="AO10" t="s">
        <v>1632</v>
      </c>
      <c r="AP10" t="str">
        <f t="shared" si="32"/>
        <v>N</v>
      </c>
      <c r="AQ10" t="s">
        <v>1633</v>
      </c>
      <c r="AR10" t="str">
        <f t="shared" si="32"/>
        <v>N</v>
      </c>
      <c r="AS10" t="s">
        <v>1634</v>
      </c>
      <c r="AT10" t="str">
        <f t="shared" si="19"/>
        <v>N</v>
      </c>
      <c r="AU10" t="s">
        <v>1635</v>
      </c>
      <c r="AV10" t="str">
        <f t="shared" si="20"/>
        <v>N</v>
      </c>
      <c r="AW10" t="s">
        <v>1636</v>
      </c>
      <c r="AX10" t="str">
        <f t="shared" ref="AX10:BB10" si="33">IF(EXACT(AY10,Y10)=TRUE,"Y","N")</f>
        <v>N</v>
      </c>
      <c r="AY10" t="s">
        <v>1637</v>
      </c>
      <c r="AZ10" t="str">
        <f t="shared" si="33"/>
        <v>N</v>
      </c>
      <c r="BA10" t="s">
        <v>1638</v>
      </c>
      <c r="BB10" t="str">
        <f t="shared" si="33"/>
        <v>N</v>
      </c>
      <c r="BC10" t="s">
        <v>1639</v>
      </c>
    </row>
    <row r="11" spans="1:114" x14ac:dyDescent="0.4">
      <c r="A11" s="11" t="s">
        <v>1640</v>
      </c>
      <c r="B11" s="18">
        <f>COUNTA(AS3:AS199)</f>
        <v>130</v>
      </c>
      <c r="C11" s="18">
        <f>COUNTBLANK(T3:T132)</f>
        <v>130</v>
      </c>
      <c r="D11" s="19">
        <f t="shared" si="11"/>
        <v>1</v>
      </c>
      <c r="E11" s="8"/>
      <c r="F11" s="23"/>
      <c r="G11" s="6"/>
      <c r="H11" s="5"/>
      <c r="I11" s="24"/>
      <c r="J11" s="5"/>
      <c r="K11" s="24"/>
      <c r="L11" s="5"/>
      <c r="M11" s="27"/>
      <c r="N11" s="5"/>
      <c r="O11" s="27"/>
      <c r="P11" s="5"/>
      <c r="Q11" s="24"/>
      <c r="R11" s="5"/>
      <c r="S11" s="24"/>
      <c r="T11" s="5"/>
      <c r="U11" s="24"/>
      <c r="V11" s="5"/>
      <c r="W11" s="24"/>
      <c r="X11" s="5"/>
      <c r="Z11" s="5"/>
      <c r="AB11" s="5"/>
      <c r="AD11" s="5"/>
      <c r="AF11" s="6" t="str">
        <f t="shared" si="16"/>
        <v>N</v>
      </c>
      <c r="AG11" s="6" t="s">
        <v>1641</v>
      </c>
      <c r="AH11" t="str">
        <f t="shared" ref="AH11:AL11" si="34">IF(EXACT(AI11,I11)=TRUE,"Y","N")</f>
        <v>N</v>
      </c>
      <c r="AI11" t="s">
        <v>1642</v>
      </c>
      <c r="AJ11" t="str">
        <f t="shared" si="34"/>
        <v>N</v>
      </c>
      <c r="AK11" s="6" t="s">
        <v>1643</v>
      </c>
      <c r="AL11" s="6" t="str">
        <f t="shared" si="34"/>
        <v>N</v>
      </c>
      <c r="AM11" s="6" t="s">
        <v>1644</v>
      </c>
      <c r="AN11" s="6" t="str">
        <f t="shared" ref="AN11:AR11" si="35">IF(EXACT(AO11,O11)=TRUE,"Y","N")</f>
        <v>N</v>
      </c>
      <c r="AO11" t="s">
        <v>1645</v>
      </c>
      <c r="AP11" t="str">
        <f t="shared" si="35"/>
        <v>N</v>
      </c>
      <c r="AQ11" t="s">
        <v>1646</v>
      </c>
      <c r="AR11" t="str">
        <f t="shared" si="35"/>
        <v>N</v>
      </c>
      <c r="AS11" t="s">
        <v>1647</v>
      </c>
      <c r="AT11" t="str">
        <f t="shared" si="19"/>
        <v>N</v>
      </c>
      <c r="AU11" t="s">
        <v>1648</v>
      </c>
      <c r="AV11" t="str">
        <f t="shared" si="20"/>
        <v>N</v>
      </c>
      <c r="AW11" t="s">
        <v>1649</v>
      </c>
      <c r="AX11" t="str">
        <f t="shared" ref="AX11:BB11" si="36">IF(EXACT(AY11,Y11)=TRUE,"Y","N")</f>
        <v>N</v>
      </c>
      <c r="AY11" t="s">
        <v>1650</v>
      </c>
      <c r="AZ11" t="str">
        <f t="shared" si="36"/>
        <v>N</v>
      </c>
      <c r="BA11" t="s">
        <v>1651</v>
      </c>
      <c r="BB11" t="str">
        <f t="shared" si="36"/>
        <v>N</v>
      </c>
      <c r="BC11" t="s">
        <v>1652</v>
      </c>
    </row>
    <row r="12" spans="1:114" x14ac:dyDescent="0.4">
      <c r="A12" s="11" t="s">
        <v>1653</v>
      </c>
      <c r="B12" s="15">
        <f>COUNTA(AU3:AU155)</f>
        <v>144</v>
      </c>
      <c r="C12" s="15">
        <f>COUNTBLANK(V3:V146)</f>
        <v>144</v>
      </c>
      <c r="D12" s="16">
        <f t="shared" si="11"/>
        <v>1</v>
      </c>
      <c r="E12" s="8"/>
      <c r="F12" s="7"/>
      <c r="G12" s="6"/>
      <c r="H12" s="5"/>
      <c r="I12" s="24"/>
      <c r="J12" s="5"/>
      <c r="K12" s="24"/>
      <c r="L12" s="5"/>
      <c r="M12" s="27"/>
      <c r="N12" s="5"/>
      <c r="O12" s="27"/>
      <c r="P12" s="5"/>
      <c r="Q12" s="24"/>
      <c r="R12" s="5"/>
      <c r="S12" s="24"/>
      <c r="T12" s="5"/>
      <c r="U12" s="24"/>
      <c r="V12" s="5"/>
      <c r="W12" s="24"/>
      <c r="X12" s="5"/>
      <c r="Z12" s="5"/>
      <c r="AB12" s="5"/>
      <c r="AD12" s="5"/>
      <c r="AF12" s="6" t="str">
        <f t="shared" si="16"/>
        <v>N</v>
      </c>
      <c r="AG12" s="6" t="s">
        <v>1654</v>
      </c>
      <c r="AH12" t="str">
        <f t="shared" ref="AH12:AL12" si="37">IF(EXACT(AI12,I12)=TRUE,"Y","N")</f>
        <v>N</v>
      </c>
      <c r="AI12" t="s">
        <v>1655</v>
      </c>
      <c r="AJ12" t="str">
        <f t="shared" si="37"/>
        <v>N</v>
      </c>
      <c r="AK12" s="6" t="s">
        <v>1656</v>
      </c>
      <c r="AL12" s="6" t="str">
        <f t="shared" si="37"/>
        <v>N</v>
      </c>
      <c r="AM12" s="6" t="s">
        <v>1657</v>
      </c>
      <c r="AN12" s="6" t="str">
        <f t="shared" ref="AN12:AR12" si="38">IF(EXACT(AO12,O12)=TRUE,"Y","N")</f>
        <v>N</v>
      </c>
      <c r="AO12" t="s">
        <v>1658</v>
      </c>
      <c r="AP12" t="str">
        <f t="shared" si="38"/>
        <v>N</v>
      </c>
      <c r="AQ12" t="s">
        <v>1659</v>
      </c>
      <c r="AR12" t="str">
        <f t="shared" si="38"/>
        <v>N</v>
      </c>
      <c r="AS12" t="s">
        <v>1660</v>
      </c>
      <c r="AT12" t="str">
        <f t="shared" si="19"/>
        <v>N</v>
      </c>
      <c r="AU12" t="s">
        <v>1661</v>
      </c>
      <c r="AV12" t="str">
        <f t="shared" si="20"/>
        <v>N</v>
      </c>
      <c r="AW12" t="s">
        <v>1662</v>
      </c>
      <c r="AX12" t="str">
        <f t="shared" ref="AX12:BB12" si="39">IF(EXACT(AY12,Y12)=TRUE,"Y","N")</f>
        <v>N</v>
      </c>
      <c r="AY12" t="s">
        <v>1663</v>
      </c>
      <c r="AZ12" t="str">
        <f t="shared" si="39"/>
        <v>N</v>
      </c>
      <c r="BA12" t="s">
        <v>1664</v>
      </c>
      <c r="BB12" t="str">
        <f t="shared" si="39"/>
        <v>N</v>
      </c>
      <c r="BC12" t="s">
        <v>1665</v>
      </c>
    </row>
    <row r="13" spans="1:114" x14ac:dyDescent="0.4">
      <c r="A13" s="11" t="s">
        <v>1666</v>
      </c>
      <c r="B13" s="18">
        <f>COUNTA(AW3:AW199)</f>
        <v>139</v>
      </c>
      <c r="C13" s="18">
        <f>COUNTBLANK(X3:X141)</f>
        <v>139</v>
      </c>
      <c r="D13" s="19">
        <f t="shared" si="11"/>
        <v>1</v>
      </c>
      <c r="E13" s="8"/>
      <c r="F13" s="7"/>
      <c r="G13" s="6"/>
      <c r="H13" s="5"/>
      <c r="I13" s="24"/>
      <c r="J13" s="5"/>
      <c r="K13" s="24"/>
      <c r="L13" s="5"/>
      <c r="M13" s="27"/>
      <c r="N13" s="5"/>
      <c r="O13" s="27"/>
      <c r="P13" s="5"/>
      <c r="Q13" s="24"/>
      <c r="R13" s="5"/>
      <c r="S13" s="24"/>
      <c r="T13" s="5"/>
      <c r="U13" s="24"/>
      <c r="V13" s="5"/>
      <c r="W13" s="24"/>
      <c r="X13" s="5"/>
      <c r="Z13" s="5"/>
      <c r="AB13" s="5"/>
      <c r="AD13" s="5"/>
      <c r="AF13" s="6" t="str">
        <f t="shared" si="16"/>
        <v>N</v>
      </c>
      <c r="AG13" s="6" t="s">
        <v>1667</v>
      </c>
      <c r="AH13" t="str">
        <f t="shared" ref="AH13:AL13" si="40">IF(EXACT(AI13,I13)=TRUE,"Y","N")</f>
        <v>N</v>
      </c>
      <c r="AI13" t="s">
        <v>1668</v>
      </c>
      <c r="AJ13" t="str">
        <f t="shared" si="40"/>
        <v>N</v>
      </c>
      <c r="AK13" s="6" t="s">
        <v>1669</v>
      </c>
      <c r="AL13" s="6" t="str">
        <f t="shared" si="40"/>
        <v>N</v>
      </c>
      <c r="AM13" s="6" t="s">
        <v>1670</v>
      </c>
      <c r="AN13" s="6" t="str">
        <f t="shared" ref="AN13:AR13" si="41">IF(EXACT(AO13,O13)=TRUE,"Y","N")</f>
        <v>N</v>
      </c>
      <c r="AO13" t="s">
        <v>1671</v>
      </c>
      <c r="AP13" t="str">
        <f t="shared" si="41"/>
        <v>N</v>
      </c>
      <c r="AQ13" t="s">
        <v>1672</v>
      </c>
      <c r="AR13" t="str">
        <f t="shared" si="41"/>
        <v>N</v>
      </c>
      <c r="AS13" t="s">
        <v>1673</v>
      </c>
      <c r="AT13" t="str">
        <f t="shared" si="19"/>
        <v>N</v>
      </c>
      <c r="AU13" t="s">
        <v>1674</v>
      </c>
      <c r="AV13" t="str">
        <f t="shared" si="20"/>
        <v>N</v>
      </c>
      <c r="AW13" t="s">
        <v>1675</v>
      </c>
      <c r="AX13" t="str">
        <f t="shared" ref="AX13:BB13" si="42">IF(EXACT(AY13,Y13)=TRUE,"Y","N")</f>
        <v>N</v>
      </c>
      <c r="AY13" t="s">
        <v>1676</v>
      </c>
      <c r="AZ13" t="str">
        <f t="shared" si="42"/>
        <v>N</v>
      </c>
      <c r="BA13" t="s">
        <v>1677</v>
      </c>
      <c r="BB13" t="str">
        <f t="shared" si="42"/>
        <v>N</v>
      </c>
      <c r="BC13" t="s">
        <v>1678</v>
      </c>
    </row>
    <row r="14" spans="1:114" x14ac:dyDescent="0.4">
      <c r="A14" s="11" t="s">
        <v>1679</v>
      </c>
      <c r="B14" s="18">
        <f>COUNTA(AY3:AY154)</f>
        <v>142</v>
      </c>
      <c r="C14" s="18">
        <f>COUNTBLANK(Z3:Z144)</f>
        <v>142</v>
      </c>
      <c r="D14" s="19">
        <f t="shared" si="11"/>
        <v>1</v>
      </c>
      <c r="E14" s="8"/>
      <c r="F14" s="7"/>
      <c r="G14" s="6"/>
      <c r="H14" s="5"/>
      <c r="I14" s="24"/>
      <c r="J14" s="5"/>
      <c r="K14" s="24"/>
      <c r="L14" s="5"/>
      <c r="M14" s="27"/>
      <c r="N14" s="5"/>
      <c r="O14" s="27"/>
      <c r="P14" s="5"/>
      <c r="Q14" s="24"/>
      <c r="R14" s="5"/>
      <c r="S14" s="24"/>
      <c r="T14" s="5"/>
      <c r="U14" s="24"/>
      <c r="V14" s="5"/>
      <c r="W14" s="24"/>
      <c r="X14" s="5"/>
      <c r="Z14" s="5"/>
      <c r="AB14" s="5"/>
      <c r="AD14" s="5"/>
      <c r="AF14" s="6" t="str">
        <f t="shared" si="16"/>
        <v>N</v>
      </c>
      <c r="AG14" s="6" t="s">
        <v>1680</v>
      </c>
      <c r="AH14" t="str">
        <f t="shared" ref="AH14:AL14" si="43">IF(EXACT(AI14,I14)=TRUE,"Y","N")</f>
        <v>N</v>
      </c>
      <c r="AI14" t="s">
        <v>1681</v>
      </c>
      <c r="AJ14" t="str">
        <f t="shared" si="43"/>
        <v>N</v>
      </c>
      <c r="AK14" s="6" t="s">
        <v>1682</v>
      </c>
      <c r="AL14" s="6" t="str">
        <f t="shared" si="43"/>
        <v>N</v>
      </c>
      <c r="AM14" s="6" t="s">
        <v>1683</v>
      </c>
      <c r="AN14" s="6" t="str">
        <f t="shared" ref="AN14:AR14" si="44">IF(EXACT(AO14,O14)=TRUE,"Y","N")</f>
        <v>N</v>
      </c>
      <c r="AO14" t="s">
        <v>1684</v>
      </c>
      <c r="AP14" t="str">
        <f t="shared" si="44"/>
        <v>N</v>
      </c>
      <c r="AQ14" t="s">
        <v>1685</v>
      </c>
      <c r="AR14" t="str">
        <f t="shared" si="44"/>
        <v>N</v>
      </c>
      <c r="AS14" t="s">
        <v>1686</v>
      </c>
      <c r="AT14" t="str">
        <f t="shared" si="19"/>
        <v>N</v>
      </c>
      <c r="AU14" t="s">
        <v>1687</v>
      </c>
      <c r="AV14" t="str">
        <f t="shared" si="20"/>
        <v>N</v>
      </c>
      <c r="AW14" t="s">
        <v>1688</v>
      </c>
      <c r="AX14" t="str">
        <f t="shared" ref="AX14:BB14" si="45">IF(EXACT(AY14,Y14)=TRUE,"Y","N")</f>
        <v>N</v>
      </c>
      <c r="AY14" t="s">
        <v>1689</v>
      </c>
      <c r="AZ14" t="str">
        <f t="shared" si="45"/>
        <v>N</v>
      </c>
      <c r="BA14" t="s">
        <v>1690</v>
      </c>
      <c r="BB14" t="str">
        <f t="shared" si="45"/>
        <v>N</v>
      </c>
      <c r="BC14" t="s">
        <v>1691</v>
      </c>
    </row>
    <row r="15" spans="1:114" x14ac:dyDescent="0.4">
      <c r="A15" s="11" t="s">
        <v>1692</v>
      </c>
      <c r="B15" s="18">
        <f>COUNTA(BA3:BA155)</f>
        <v>127</v>
      </c>
      <c r="C15" s="18">
        <f>COUNTBLANK(AB3:AB129)</f>
        <v>127</v>
      </c>
      <c r="D15" s="19">
        <f t="shared" si="11"/>
        <v>1</v>
      </c>
      <c r="E15" s="8"/>
      <c r="F15" s="7"/>
      <c r="G15" s="6"/>
      <c r="H15" s="5"/>
      <c r="I15" s="24"/>
      <c r="J15" s="5"/>
      <c r="K15" s="24"/>
      <c r="L15" s="5"/>
      <c r="M15" s="27"/>
      <c r="N15" s="5"/>
      <c r="O15" s="27"/>
      <c r="P15" s="5"/>
      <c r="Q15" s="24"/>
      <c r="R15" s="5"/>
      <c r="S15" s="24"/>
      <c r="T15" s="5"/>
      <c r="U15" s="24"/>
      <c r="V15" s="5"/>
      <c r="W15" s="24"/>
      <c r="X15" s="5"/>
      <c r="Z15" s="5"/>
      <c r="AB15" s="5"/>
      <c r="AD15" s="5"/>
      <c r="AF15" s="6" t="str">
        <f t="shared" si="16"/>
        <v>N</v>
      </c>
      <c r="AG15" s="6" t="s">
        <v>1693</v>
      </c>
      <c r="AH15" t="str">
        <f t="shared" ref="AH15:AL15" si="46">IF(EXACT(AI15,I15)=TRUE,"Y","N")</f>
        <v>N</v>
      </c>
      <c r="AI15" t="s">
        <v>1694</v>
      </c>
      <c r="AJ15" t="str">
        <f t="shared" si="46"/>
        <v>N</v>
      </c>
      <c r="AK15" s="6" t="s">
        <v>1695</v>
      </c>
      <c r="AL15" s="6" t="str">
        <f t="shared" si="46"/>
        <v>N</v>
      </c>
      <c r="AM15" s="6" t="s">
        <v>1696</v>
      </c>
      <c r="AN15" s="6" t="str">
        <f t="shared" ref="AN15:AR15" si="47">IF(EXACT(AO15,O15)=TRUE,"Y","N")</f>
        <v>N</v>
      </c>
      <c r="AO15" t="s">
        <v>1697</v>
      </c>
      <c r="AP15" t="str">
        <f t="shared" si="47"/>
        <v>N</v>
      </c>
      <c r="AQ15" t="s">
        <v>1698</v>
      </c>
      <c r="AR15" t="str">
        <f t="shared" si="47"/>
        <v>N</v>
      </c>
      <c r="AS15" t="s">
        <v>1699</v>
      </c>
      <c r="AT15" t="str">
        <f t="shared" si="19"/>
        <v>N</v>
      </c>
      <c r="AU15" t="s">
        <v>1700</v>
      </c>
      <c r="AV15" t="str">
        <f t="shared" si="20"/>
        <v>N</v>
      </c>
      <c r="AW15" t="s">
        <v>1701</v>
      </c>
      <c r="AX15" t="str">
        <f t="shared" ref="AX15:BB15" si="48">IF(EXACT(AY15,Y15)=TRUE,"Y","N")</f>
        <v>N</v>
      </c>
      <c r="AY15" t="s">
        <v>1702</v>
      </c>
      <c r="AZ15" t="str">
        <f t="shared" si="48"/>
        <v>N</v>
      </c>
      <c r="BA15" t="s">
        <v>1703</v>
      </c>
      <c r="BB15" t="str">
        <f t="shared" si="48"/>
        <v>N</v>
      </c>
      <c r="BC15" t="s">
        <v>1704</v>
      </c>
    </row>
    <row r="16" spans="1:114" x14ac:dyDescent="0.4">
      <c r="A16" s="11" t="s">
        <v>1705</v>
      </c>
      <c r="B16" s="18">
        <f>COUNTA(BC3:BC237)</f>
        <v>235</v>
      </c>
      <c r="C16" s="18">
        <f>COUNTBLANK(AD3:AD237)</f>
        <v>235</v>
      </c>
      <c r="D16" s="19">
        <f t="shared" si="11"/>
        <v>1</v>
      </c>
      <c r="E16" s="8"/>
      <c r="F16" s="7"/>
      <c r="G16" s="6"/>
      <c r="H16" s="5"/>
      <c r="I16" s="24"/>
      <c r="J16" s="5"/>
      <c r="K16" s="24"/>
      <c r="L16" s="5"/>
      <c r="M16" s="27"/>
      <c r="N16" s="5"/>
      <c r="O16" s="27"/>
      <c r="P16" s="5"/>
      <c r="Q16" s="24"/>
      <c r="R16" s="5"/>
      <c r="S16" s="24"/>
      <c r="T16" s="5"/>
      <c r="U16" s="24"/>
      <c r="V16" s="5"/>
      <c r="W16" s="24"/>
      <c r="X16" s="5"/>
      <c r="Z16" s="5"/>
      <c r="AB16" s="5"/>
      <c r="AD16" s="5"/>
      <c r="AF16" s="6" t="str">
        <f t="shared" si="16"/>
        <v>N</v>
      </c>
      <c r="AG16" s="6" t="s">
        <v>1706</v>
      </c>
      <c r="AH16" t="str">
        <f t="shared" ref="AH16:AL16" si="49">IF(EXACT(AI16,I16)=TRUE,"Y","N")</f>
        <v>N</v>
      </c>
      <c r="AI16" t="s">
        <v>1707</v>
      </c>
      <c r="AJ16" t="str">
        <f t="shared" si="49"/>
        <v>N</v>
      </c>
      <c r="AK16" s="6" t="s">
        <v>1708</v>
      </c>
      <c r="AL16" s="6" t="str">
        <f t="shared" si="49"/>
        <v>N</v>
      </c>
      <c r="AM16" s="6" t="s">
        <v>1709</v>
      </c>
      <c r="AN16" s="6" t="str">
        <f t="shared" ref="AN16:AR16" si="50">IF(EXACT(AO16,O16)=TRUE,"Y","N")</f>
        <v>N</v>
      </c>
      <c r="AO16" t="s">
        <v>1710</v>
      </c>
      <c r="AP16" t="str">
        <f t="shared" si="50"/>
        <v>N</v>
      </c>
      <c r="AQ16" t="s">
        <v>1711</v>
      </c>
      <c r="AR16" t="str">
        <f t="shared" si="50"/>
        <v>N</v>
      </c>
      <c r="AS16" t="s">
        <v>1712</v>
      </c>
      <c r="AT16" t="str">
        <f t="shared" si="19"/>
        <v>N</v>
      </c>
      <c r="AU16" t="s">
        <v>1713</v>
      </c>
      <c r="AV16" t="str">
        <f t="shared" si="20"/>
        <v>N</v>
      </c>
      <c r="AW16" t="s">
        <v>1714</v>
      </c>
      <c r="AX16" t="str">
        <f t="shared" ref="AX16:BB16" si="51">IF(EXACT(AY16,Y16)=TRUE,"Y","N")</f>
        <v>N</v>
      </c>
      <c r="AY16" t="s">
        <v>1715</v>
      </c>
      <c r="AZ16" t="str">
        <f t="shared" si="51"/>
        <v>N</v>
      </c>
      <c r="BA16" t="s">
        <v>1716</v>
      </c>
      <c r="BB16" t="str">
        <f t="shared" si="51"/>
        <v>N</v>
      </c>
      <c r="BC16" t="s">
        <v>1717</v>
      </c>
    </row>
    <row r="17" spans="1:55" x14ac:dyDescent="0.4">
      <c r="A17" s="20" t="s">
        <v>136</v>
      </c>
      <c r="B17" s="21">
        <f>SUM(B5:B16)</f>
        <v>1569</v>
      </c>
      <c r="C17" s="21">
        <f>SUM(C5:C16)</f>
        <v>1569</v>
      </c>
      <c r="D17" s="22">
        <f t="shared" si="11"/>
        <v>1</v>
      </c>
      <c r="E17" s="8"/>
      <c r="F17" s="7"/>
      <c r="G17" s="6"/>
      <c r="H17" s="5"/>
      <c r="I17" s="24"/>
      <c r="J17" s="5"/>
      <c r="K17" s="24"/>
      <c r="L17" s="5"/>
      <c r="M17" s="27"/>
      <c r="N17" s="5"/>
      <c r="O17" s="27"/>
      <c r="P17" s="5"/>
      <c r="Q17" s="24"/>
      <c r="R17" s="5"/>
      <c r="S17" s="24"/>
      <c r="T17" s="5"/>
      <c r="U17" s="24"/>
      <c r="V17" s="5"/>
      <c r="W17" s="24"/>
      <c r="X17" s="5"/>
      <c r="Z17" s="5"/>
      <c r="AB17" s="5"/>
      <c r="AD17" s="5"/>
      <c r="AF17" s="6" t="str">
        <f t="shared" si="16"/>
        <v>N</v>
      </c>
      <c r="AG17" s="6" t="s">
        <v>1718</v>
      </c>
      <c r="AH17" t="str">
        <f t="shared" ref="AH17:AL17" si="52">IF(EXACT(AI17,I17)=TRUE,"Y","N")</f>
        <v>N</v>
      </c>
      <c r="AI17" t="s">
        <v>1719</v>
      </c>
      <c r="AJ17" t="str">
        <f t="shared" si="52"/>
        <v>N</v>
      </c>
      <c r="AK17" s="6" t="s">
        <v>1720</v>
      </c>
      <c r="AL17" s="6" t="str">
        <f t="shared" si="52"/>
        <v>N</v>
      </c>
      <c r="AM17" s="6" t="s">
        <v>1721</v>
      </c>
      <c r="AN17" s="6" t="str">
        <f t="shared" ref="AN17:AR17" si="53">IF(EXACT(AO17,O17)=TRUE,"Y","N")</f>
        <v>N</v>
      </c>
      <c r="AO17" t="s">
        <v>1722</v>
      </c>
      <c r="AP17" t="str">
        <f t="shared" si="53"/>
        <v>N</v>
      </c>
      <c r="AQ17" t="s">
        <v>1723</v>
      </c>
      <c r="AR17" t="str">
        <f t="shared" si="53"/>
        <v>N</v>
      </c>
      <c r="AS17" t="s">
        <v>1724</v>
      </c>
      <c r="AT17" t="str">
        <f t="shared" si="19"/>
        <v>N</v>
      </c>
      <c r="AU17" t="s">
        <v>1725</v>
      </c>
      <c r="AV17" t="str">
        <f t="shared" si="20"/>
        <v>N</v>
      </c>
      <c r="AW17" t="s">
        <v>1726</v>
      </c>
      <c r="AX17" t="str">
        <f t="shared" ref="AX17:BB17" si="54">IF(EXACT(AY17,Y17)=TRUE,"Y","N")</f>
        <v>N</v>
      </c>
      <c r="AY17" t="s">
        <v>1727</v>
      </c>
      <c r="AZ17" t="str">
        <f t="shared" si="54"/>
        <v>N</v>
      </c>
      <c r="BA17" t="s">
        <v>1728</v>
      </c>
      <c r="BB17" t="str">
        <f t="shared" si="54"/>
        <v>N</v>
      </c>
      <c r="BC17" t="s">
        <v>1729</v>
      </c>
    </row>
    <row r="18" spans="1:55" x14ac:dyDescent="0.4">
      <c r="A18" s="8"/>
      <c r="B18" s="8"/>
      <c r="C18" s="8"/>
      <c r="D18" s="8"/>
      <c r="E18" s="8"/>
      <c r="F18" s="7"/>
      <c r="G18" s="24"/>
      <c r="H18" s="5"/>
      <c r="I18" s="24"/>
      <c r="J18" s="5"/>
      <c r="K18" s="24"/>
      <c r="L18" s="5"/>
      <c r="M18" s="27"/>
      <c r="N18" s="5"/>
      <c r="O18" s="27"/>
      <c r="P18" s="5"/>
      <c r="Q18" s="24"/>
      <c r="R18" s="5"/>
      <c r="S18" s="24"/>
      <c r="T18" s="5"/>
      <c r="U18" s="24"/>
      <c r="V18" s="5"/>
      <c r="W18" s="24"/>
      <c r="X18" s="5"/>
      <c r="Z18" s="5"/>
      <c r="AB18" s="5"/>
      <c r="AD18" s="5"/>
      <c r="AF18" s="6" t="str">
        <f t="shared" si="16"/>
        <v>N</v>
      </c>
      <c r="AG18" s="6" t="s">
        <v>1730</v>
      </c>
      <c r="AH18" t="str">
        <f t="shared" ref="AH18:AL18" si="55">IF(EXACT(AI18,I18)=TRUE,"Y","N")</f>
        <v>N</v>
      </c>
      <c r="AI18" t="s">
        <v>1731</v>
      </c>
      <c r="AJ18" t="str">
        <f t="shared" si="55"/>
        <v>N</v>
      </c>
      <c r="AK18" s="6" t="s">
        <v>1732</v>
      </c>
      <c r="AL18" s="6" t="str">
        <f t="shared" si="55"/>
        <v>N</v>
      </c>
      <c r="AM18" s="6" t="s">
        <v>1733</v>
      </c>
      <c r="AN18" s="6" t="str">
        <f t="shared" ref="AN18:AR18" si="56">IF(EXACT(AO18,O18)=TRUE,"Y","N")</f>
        <v>N</v>
      </c>
      <c r="AO18" t="s">
        <v>1734</v>
      </c>
      <c r="AP18" t="str">
        <f t="shared" si="56"/>
        <v>N</v>
      </c>
      <c r="AQ18" t="s">
        <v>1735</v>
      </c>
      <c r="AR18" t="str">
        <f t="shared" si="56"/>
        <v>N</v>
      </c>
      <c r="AS18" t="s">
        <v>1736</v>
      </c>
      <c r="AT18" t="str">
        <f t="shared" si="19"/>
        <v>N</v>
      </c>
      <c r="AU18" t="s">
        <v>1737</v>
      </c>
      <c r="AV18" t="str">
        <f t="shared" si="20"/>
        <v>N</v>
      </c>
      <c r="AW18" t="s">
        <v>1738</v>
      </c>
      <c r="AX18" t="str">
        <f t="shared" ref="AX18:BB18" si="57">IF(EXACT(AY18,Y18)=TRUE,"Y","N")</f>
        <v>N</v>
      </c>
      <c r="AY18" t="s">
        <v>1739</v>
      </c>
      <c r="AZ18" t="str">
        <f t="shared" si="57"/>
        <v>N</v>
      </c>
      <c r="BA18" t="s">
        <v>1740</v>
      </c>
      <c r="BB18" t="str">
        <f t="shared" si="57"/>
        <v>N</v>
      </c>
      <c r="BC18" t="s">
        <v>1741</v>
      </c>
    </row>
    <row r="19" spans="1:55" x14ac:dyDescent="0.4">
      <c r="A19" s="8"/>
      <c r="B19" s="8"/>
      <c r="C19" s="8"/>
      <c r="D19" s="8"/>
      <c r="E19" s="8"/>
      <c r="F19" s="7"/>
      <c r="G19" s="24"/>
      <c r="H19" s="5"/>
      <c r="I19" s="24"/>
      <c r="J19" s="5"/>
      <c r="K19" s="24"/>
      <c r="L19" s="5"/>
      <c r="M19" s="27"/>
      <c r="N19" s="5"/>
      <c r="O19" s="27"/>
      <c r="P19" s="5"/>
      <c r="Q19" s="24"/>
      <c r="R19" s="5"/>
      <c r="S19" s="24"/>
      <c r="T19" s="5"/>
      <c r="U19" s="24"/>
      <c r="V19" s="5"/>
      <c r="W19" s="24"/>
      <c r="X19" s="5"/>
      <c r="Z19" s="5"/>
      <c r="AB19" s="5"/>
      <c r="AD19" s="5"/>
      <c r="AF19" s="6" t="str">
        <f t="shared" si="16"/>
        <v>N</v>
      </c>
      <c r="AG19" s="6" t="s">
        <v>1742</v>
      </c>
      <c r="AH19" t="str">
        <f t="shared" ref="AH19:AL19" si="58">IF(EXACT(AI19,I19)=TRUE,"Y","N")</f>
        <v>N</v>
      </c>
      <c r="AI19" t="s">
        <v>1743</v>
      </c>
      <c r="AJ19" t="str">
        <f t="shared" si="58"/>
        <v>N</v>
      </c>
      <c r="AK19" s="6" t="s">
        <v>1744</v>
      </c>
      <c r="AL19" s="6" t="str">
        <f t="shared" si="58"/>
        <v>N</v>
      </c>
      <c r="AM19" s="6" t="s">
        <v>1745</v>
      </c>
      <c r="AN19" s="6" t="str">
        <f t="shared" ref="AN19:AR19" si="59">IF(EXACT(AO19,O19)=TRUE,"Y","N")</f>
        <v>N</v>
      </c>
      <c r="AO19" t="s">
        <v>1746</v>
      </c>
      <c r="AP19" t="str">
        <f t="shared" si="59"/>
        <v>N</v>
      </c>
      <c r="AQ19" t="s">
        <v>1747</v>
      </c>
      <c r="AR19" t="str">
        <f t="shared" si="59"/>
        <v>N</v>
      </c>
      <c r="AS19" t="s">
        <v>1748</v>
      </c>
      <c r="AT19" t="str">
        <f t="shared" si="19"/>
        <v>N</v>
      </c>
      <c r="AU19" t="s">
        <v>1749</v>
      </c>
      <c r="AV19" t="str">
        <f t="shared" si="20"/>
        <v>N</v>
      </c>
      <c r="AW19" t="s">
        <v>1750</v>
      </c>
      <c r="AX19" t="str">
        <f t="shared" ref="AX19:BB19" si="60">IF(EXACT(AY19,Y19)=TRUE,"Y","N")</f>
        <v>N</v>
      </c>
      <c r="AY19" t="s">
        <v>1751</v>
      </c>
      <c r="AZ19" t="str">
        <f t="shared" si="60"/>
        <v>N</v>
      </c>
      <c r="BA19" t="s">
        <v>1752</v>
      </c>
      <c r="BB19" t="str">
        <f t="shared" si="60"/>
        <v>N</v>
      </c>
      <c r="BC19" t="s">
        <v>1753</v>
      </c>
    </row>
    <row r="20" spans="1:55" x14ac:dyDescent="0.4">
      <c r="A20" s="8"/>
      <c r="B20" s="8"/>
      <c r="C20" s="8"/>
      <c r="D20" s="8"/>
      <c r="E20" s="8"/>
      <c r="F20" s="7"/>
      <c r="G20" s="24"/>
      <c r="H20" s="5"/>
      <c r="I20" s="24"/>
      <c r="J20" s="5"/>
      <c r="K20" s="24"/>
      <c r="L20" s="5"/>
      <c r="M20" s="27"/>
      <c r="N20" s="5"/>
      <c r="O20" s="27"/>
      <c r="P20" s="5"/>
      <c r="Q20" s="24"/>
      <c r="R20" s="5"/>
      <c r="S20" s="24"/>
      <c r="T20" s="5"/>
      <c r="U20" s="24"/>
      <c r="V20" s="5"/>
      <c r="W20" s="24"/>
      <c r="X20" s="5"/>
      <c r="Z20" s="5"/>
      <c r="AB20" s="5"/>
      <c r="AD20" s="5"/>
      <c r="AF20" s="6" t="str">
        <f t="shared" si="16"/>
        <v>N</v>
      </c>
      <c r="AG20" s="6" t="s">
        <v>1754</v>
      </c>
      <c r="AH20" t="str">
        <f t="shared" ref="AH20:AL20" si="61">IF(EXACT(AI20,I20)=TRUE,"Y","N")</f>
        <v>N</v>
      </c>
      <c r="AI20" t="s">
        <v>1755</v>
      </c>
      <c r="AJ20" t="str">
        <f t="shared" si="61"/>
        <v>N</v>
      </c>
      <c r="AK20" s="6" t="s">
        <v>1756</v>
      </c>
      <c r="AL20" s="6" t="str">
        <f t="shared" si="61"/>
        <v>N</v>
      </c>
      <c r="AM20" s="6" t="s">
        <v>1757</v>
      </c>
      <c r="AN20" s="6" t="str">
        <f t="shared" ref="AN20:AR20" si="62">IF(EXACT(AO20,O20)=TRUE,"Y","N")</f>
        <v>N</v>
      </c>
      <c r="AO20" t="s">
        <v>1758</v>
      </c>
      <c r="AP20" t="str">
        <f t="shared" si="62"/>
        <v>N</v>
      </c>
      <c r="AQ20" t="s">
        <v>1759</v>
      </c>
      <c r="AR20" t="str">
        <f t="shared" si="62"/>
        <v>N</v>
      </c>
      <c r="AS20" t="s">
        <v>1760</v>
      </c>
      <c r="AT20" t="str">
        <f t="shared" si="19"/>
        <v>N</v>
      </c>
      <c r="AU20" t="s">
        <v>1761</v>
      </c>
      <c r="AV20" t="str">
        <f t="shared" si="20"/>
        <v>N</v>
      </c>
      <c r="AW20" t="s">
        <v>1762</v>
      </c>
      <c r="AX20" t="str">
        <f t="shared" ref="AX20:BB20" si="63">IF(EXACT(AY20,Y20)=TRUE,"Y","N")</f>
        <v>N</v>
      </c>
      <c r="AY20" t="s">
        <v>1763</v>
      </c>
      <c r="AZ20" t="str">
        <f t="shared" si="63"/>
        <v>N</v>
      </c>
      <c r="BA20" t="s">
        <v>1764</v>
      </c>
      <c r="BB20" t="str">
        <f t="shared" si="63"/>
        <v>N</v>
      </c>
      <c r="BC20" t="s">
        <v>1765</v>
      </c>
    </row>
    <row r="21" spans="1:55" x14ac:dyDescent="0.4">
      <c r="A21" s="8"/>
      <c r="B21" s="8"/>
      <c r="C21" s="8"/>
      <c r="D21" s="8"/>
      <c r="E21" s="8"/>
      <c r="F21" s="7"/>
      <c r="G21" s="24"/>
      <c r="H21" s="5"/>
      <c r="I21" s="24"/>
      <c r="J21" s="5"/>
      <c r="K21" s="24"/>
      <c r="L21" s="5"/>
      <c r="M21" s="27"/>
      <c r="N21" s="5"/>
      <c r="O21" s="27"/>
      <c r="P21" s="5"/>
      <c r="Q21" s="24"/>
      <c r="R21" s="5"/>
      <c r="S21" s="24"/>
      <c r="T21" s="5"/>
      <c r="U21" s="24"/>
      <c r="V21" s="5"/>
      <c r="W21" s="24"/>
      <c r="X21" s="5"/>
      <c r="Z21" s="5"/>
      <c r="AB21" s="5"/>
      <c r="AD21" s="5"/>
      <c r="AF21" s="6" t="str">
        <f t="shared" si="16"/>
        <v>N</v>
      </c>
      <c r="AG21" s="6" t="s">
        <v>1766</v>
      </c>
      <c r="AH21" t="str">
        <f t="shared" ref="AH21:AL21" si="64">IF(EXACT(AI21,I21)=TRUE,"Y","N")</f>
        <v>N</v>
      </c>
      <c r="AI21" t="s">
        <v>1767</v>
      </c>
      <c r="AJ21" t="str">
        <f t="shared" si="64"/>
        <v>N</v>
      </c>
      <c r="AK21" s="6" t="s">
        <v>1768</v>
      </c>
      <c r="AL21" s="6" t="str">
        <f t="shared" si="64"/>
        <v>N</v>
      </c>
      <c r="AM21" s="6" t="s">
        <v>1769</v>
      </c>
      <c r="AN21" s="6" t="str">
        <f t="shared" ref="AN21:AR21" si="65">IF(EXACT(AO21,O21)=TRUE,"Y","N")</f>
        <v>N</v>
      </c>
      <c r="AO21" t="s">
        <v>1770</v>
      </c>
      <c r="AP21" t="str">
        <f t="shared" si="65"/>
        <v>N</v>
      </c>
      <c r="AQ21" t="s">
        <v>1771</v>
      </c>
      <c r="AR21" t="str">
        <f t="shared" si="65"/>
        <v>N</v>
      </c>
      <c r="AS21" t="s">
        <v>1772</v>
      </c>
      <c r="AT21" t="str">
        <f t="shared" si="19"/>
        <v>N</v>
      </c>
      <c r="AU21" t="s">
        <v>1773</v>
      </c>
      <c r="AV21" t="str">
        <f t="shared" si="20"/>
        <v>N</v>
      </c>
      <c r="AW21" t="s">
        <v>1774</v>
      </c>
      <c r="AX21" t="str">
        <f t="shared" ref="AX21:BB21" si="66">IF(EXACT(AY21,Y21)=TRUE,"Y","N")</f>
        <v>N</v>
      </c>
      <c r="AY21" t="s">
        <v>1775</v>
      </c>
      <c r="AZ21" t="str">
        <f t="shared" si="66"/>
        <v>N</v>
      </c>
      <c r="BA21" t="s">
        <v>1776</v>
      </c>
      <c r="BB21" t="str">
        <f t="shared" si="66"/>
        <v>N</v>
      </c>
      <c r="BC21" t="s">
        <v>1195</v>
      </c>
    </row>
    <row r="22" spans="1:55" x14ac:dyDescent="0.4">
      <c r="A22" s="8"/>
      <c r="B22" s="8"/>
      <c r="C22" s="8"/>
      <c r="D22" s="8"/>
      <c r="E22" s="8"/>
      <c r="F22" s="7"/>
      <c r="G22" s="24"/>
      <c r="H22" s="5"/>
      <c r="I22" s="24"/>
      <c r="J22" s="5"/>
      <c r="K22" s="24"/>
      <c r="L22" s="5"/>
      <c r="M22" s="27"/>
      <c r="N22" s="5"/>
      <c r="O22" s="27"/>
      <c r="P22" s="5"/>
      <c r="Q22" s="24"/>
      <c r="R22" s="5"/>
      <c r="S22" s="24"/>
      <c r="T22" s="5"/>
      <c r="U22" s="24"/>
      <c r="V22" s="5"/>
      <c r="W22" s="24"/>
      <c r="X22" s="5"/>
      <c r="Z22" s="5"/>
      <c r="AB22" s="5"/>
      <c r="AD22" s="5"/>
      <c r="AF22" s="6" t="str">
        <f t="shared" si="16"/>
        <v>N</v>
      </c>
      <c r="AG22" s="6" t="s">
        <v>1777</v>
      </c>
      <c r="AH22" t="str">
        <f t="shared" ref="AH22:AL22" si="67">IF(EXACT(AI22,I22)=TRUE,"Y","N")</f>
        <v>N</v>
      </c>
      <c r="AI22" t="s">
        <v>1778</v>
      </c>
      <c r="AJ22" t="str">
        <f t="shared" si="67"/>
        <v>N</v>
      </c>
      <c r="AK22" s="6" t="s">
        <v>1779</v>
      </c>
      <c r="AL22" s="6" t="str">
        <f t="shared" si="67"/>
        <v>N</v>
      </c>
      <c r="AM22" s="6" t="s">
        <v>1780</v>
      </c>
      <c r="AN22" s="6" t="str">
        <f t="shared" ref="AN22:AR22" si="68">IF(EXACT(AO22,O22)=TRUE,"Y","N")</f>
        <v>N</v>
      </c>
      <c r="AO22" t="s">
        <v>1781</v>
      </c>
      <c r="AP22" t="str">
        <f t="shared" si="68"/>
        <v>N</v>
      </c>
      <c r="AQ22" t="s">
        <v>1782</v>
      </c>
      <c r="AR22" t="str">
        <f t="shared" si="68"/>
        <v>N</v>
      </c>
      <c r="AS22" t="s">
        <v>1783</v>
      </c>
      <c r="AT22" t="str">
        <f t="shared" si="19"/>
        <v>N</v>
      </c>
      <c r="AU22" t="s">
        <v>1784</v>
      </c>
      <c r="AV22" t="str">
        <f t="shared" si="20"/>
        <v>N</v>
      </c>
      <c r="AW22" t="s">
        <v>1785</v>
      </c>
      <c r="AX22" t="str">
        <f t="shared" ref="AX22:BB22" si="69">IF(EXACT(AY22,Y22)=TRUE,"Y","N")</f>
        <v>N</v>
      </c>
      <c r="AY22" t="s">
        <v>1786</v>
      </c>
      <c r="AZ22" t="str">
        <f t="shared" si="69"/>
        <v>N</v>
      </c>
      <c r="BA22" t="s">
        <v>1787</v>
      </c>
      <c r="BB22" t="str">
        <f t="shared" si="69"/>
        <v>N</v>
      </c>
      <c r="BC22" t="s">
        <v>1788</v>
      </c>
    </row>
    <row r="23" spans="1:55" x14ac:dyDescent="0.4">
      <c r="A23" s="8"/>
      <c r="B23" s="8"/>
      <c r="C23" s="8"/>
      <c r="D23" s="8"/>
      <c r="E23" s="8"/>
      <c r="F23" s="7"/>
      <c r="G23" s="24"/>
      <c r="H23" s="5"/>
      <c r="I23" s="24"/>
      <c r="J23" s="5"/>
      <c r="K23" s="24"/>
      <c r="L23" s="5"/>
      <c r="M23" s="27"/>
      <c r="N23" s="5"/>
      <c r="O23" s="27"/>
      <c r="P23" s="5"/>
      <c r="Q23" s="24"/>
      <c r="R23" s="5"/>
      <c r="S23" s="24"/>
      <c r="T23" s="5"/>
      <c r="U23" s="24"/>
      <c r="V23" s="5"/>
      <c r="W23" s="24"/>
      <c r="X23" s="5"/>
      <c r="Z23" s="5"/>
      <c r="AB23" s="5"/>
      <c r="AD23" s="5"/>
      <c r="AF23" s="6" t="str">
        <f t="shared" si="16"/>
        <v>N</v>
      </c>
      <c r="AG23" s="6" t="s">
        <v>1789</v>
      </c>
      <c r="AH23" t="str">
        <f t="shared" ref="AH23:AL23" si="70">IF(EXACT(AI23,I23)=TRUE,"Y","N")</f>
        <v>N</v>
      </c>
      <c r="AI23" t="s">
        <v>1790</v>
      </c>
      <c r="AJ23" t="str">
        <f t="shared" si="70"/>
        <v>N</v>
      </c>
      <c r="AK23" s="6" t="s">
        <v>1791</v>
      </c>
      <c r="AL23" s="6" t="str">
        <f t="shared" si="70"/>
        <v>N</v>
      </c>
      <c r="AM23" s="6" t="s">
        <v>1792</v>
      </c>
      <c r="AN23" s="6" t="str">
        <f t="shared" ref="AN23:AR23" si="71">IF(EXACT(AO23,O23)=TRUE,"Y","N")</f>
        <v>N</v>
      </c>
      <c r="AO23" t="s">
        <v>1793</v>
      </c>
      <c r="AP23" t="str">
        <f t="shared" si="71"/>
        <v>N</v>
      </c>
      <c r="AQ23" t="s">
        <v>1794</v>
      </c>
      <c r="AR23" t="str">
        <f t="shared" si="71"/>
        <v>N</v>
      </c>
      <c r="AS23" t="s">
        <v>1795</v>
      </c>
      <c r="AT23" t="str">
        <f t="shared" si="19"/>
        <v>N</v>
      </c>
      <c r="AU23" t="s">
        <v>1796</v>
      </c>
      <c r="AV23" t="str">
        <f t="shared" si="20"/>
        <v>N</v>
      </c>
      <c r="AW23" t="s">
        <v>1797</v>
      </c>
      <c r="AX23" t="str">
        <f t="shared" ref="AX23:BB23" si="72">IF(EXACT(AY23,Y23)=TRUE,"Y","N")</f>
        <v>N</v>
      </c>
      <c r="AY23" t="s">
        <v>1798</v>
      </c>
      <c r="AZ23" t="str">
        <f t="shared" si="72"/>
        <v>N</v>
      </c>
      <c r="BA23" t="s">
        <v>1799</v>
      </c>
      <c r="BB23" t="str">
        <f t="shared" si="72"/>
        <v>N</v>
      </c>
      <c r="BC23" t="s">
        <v>1800</v>
      </c>
    </row>
    <row r="24" spans="1:55" x14ac:dyDescent="0.4">
      <c r="A24" s="7"/>
      <c r="B24" s="7"/>
      <c r="C24" s="7"/>
      <c r="D24" s="7"/>
      <c r="E24" s="7"/>
      <c r="F24" s="7"/>
      <c r="G24" s="24"/>
      <c r="H24" s="5"/>
      <c r="I24" s="24"/>
      <c r="J24" s="5"/>
      <c r="K24" s="24"/>
      <c r="L24" s="5"/>
      <c r="M24" s="27"/>
      <c r="N24" s="5"/>
      <c r="O24" s="27"/>
      <c r="P24" s="5"/>
      <c r="Q24" s="24"/>
      <c r="R24" s="5"/>
      <c r="S24" s="24"/>
      <c r="T24" s="5"/>
      <c r="U24" s="24"/>
      <c r="V24" s="5"/>
      <c r="W24" s="24"/>
      <c r="X24" s="5"/>
      <c r="Z24" s="5"/>
      <c r="AB24" s="5"/>
      <c r="AD24" s="5"/>
      <c r="AF24" s="6" t="str">
        <f t="shared" si="16"/>
        <v>N</v>
      </c>
      <c r="AG24" s="6" t="s">
        <v>1801</v>
      </c>
      <c r="AH24" t="str">
        <f t="shared" ref="AH24:AL24" si="73">IF(EXACT(AI24,I24)=TRUE,"Y","N")</f>
        <v>N</v>
      </c>
      <c r="AI24" t="s">
        <v>1802</v>
      </c>
      <c r="AJ24" t="str">
        <f t="shared" si="73"/>
        <v>N</v>
      </c>
      <c r="AK24" s="6" t="s">
        <v>1803</v>
      </c>
      <c r="AL24" s="6" t="str">
        <f t="shared" si="73"/>
        <v>N</v>
      </c>
      <c r="AM24" s="6" t="s">
        <v>1804</v>
      </c>
      <c r="AN24" s="6" t="str">
        <f t="shared" ref="AN24:AR24" si="74">IF(EXACT(AO24,O24)=TRUE,"Y","N")</f>
        <v>N</v>
      </c>
      <c r="AO24" t="s">
        <v>1805</v>
      </c>
      <c r="AP24" t="str">
        <f t="shared" si="74"/>
        <v>N</v>
      </c>
      <c r="AQ24" t="s">
        <v>1806</v>
      </c>
      <c r="AR24" t="str">
        <f t="shared" si="74"/>
        <v>N</v>
      </c>
      <c r="AS24" t="s">
        <v>1807</v>
      </c>
      <c r="AT24" t="str">
        <f t="shared" si="19"/>
        <v>N</v>
      </c>
      <c r="AU24" t="s">
        <v>1808</v>
      </c>
      <c r="AV24" t="str">
        <f t="shared" si="20"/>
        <v>N</v>
      </c>
      <c r="AW24" t="s">
        <v>1809</v>
      </c>
      <c r="AX24" t="str">
        <f t="shared" ref="AX24:BB24" si="75">IF(EXACT(AY24,Y24)=TRUE,"Y","N")</f>
        <v>N</v>
      </c>
      <c r="AY24" t="s">
        <v>1810</v>
      </c>
      <c r="AZ24" t="str">
        <f t="shared" si="75"/>
        <v>N</v>
      </c>
      <c r="BA24" t="s">
        <v>1811</v>
      </c>
      <c r="BB24" t="str">
        <f t="shared" si="75"/>
        <v>N</v>
      </c>
      <c r="BC24" t="s">
        <v>1812</v>
      </c>
    </row>
    <row r="25" spans="1:55" x14ac:dyDescent="0.4">
      <c r="A25" s="7"/>
      <c r="B25" s="7"/>
      <c r="C25" s="7"/>
      <c r="D25" s="7"/>
      <c r="E25" s="7"/>
      <c r="F25" s="7"/>
      <c r="G25" s="24"/>
      <c r="H25" s="5"/>
      <c r="I25" s="24"/>
      <c r="J25" s="5"/>
      <c r="K25" s="24"/>
      <c r="L25" s="5"/>
      <c r="M25" s="27"/>
      <c r="N25" s="5"/>
      <c r="O25" s="27"/>
      <c r="P25" s="5"/>
      <c r="Q25" s="24"/>
      <c r="R25" s="5"/>
      <c r="S25" s="24"/>
      <c r="T25" s="5"/>
      <c r="U25" s="24"/>
      <c r="V25" s="5"/>
      <c r="W25" s="24"/>
      <c r="X25" s="5"/>
      <c r="Z25" s="5"/>
      <c r="AB25" s="5"/>
      <c r="AD25" s="5"/>
      <c r="AF25" s="6" t="str">
        <f t="shared" si="16"/>
        <v>N</v>
      </c>
      <c r="AG25" s="6" t="s">
        <v>1813</v>
      </c>
      <c r="AH25" t="str">
        <f t="shared" ref="AH25:AL25" si="76">IF(EXACT(AI25,I25)=TRUE,"Y","N")</f>
        <v>N</v>
      </c>
      <c r="AI25" t="s">
        <v>1814</v>
      </c>
      <c r="AJ25" t="str">
        <f t="shared" si="76"/>
        <v>N</v>
      </c>
      <c r="AK25" s="6" t="s">
        <v>1815</v>
      </c>
      <c r="AL25" s="6" t="str">
        <f t="shared" si="76"/>
        <v>N</v>
      </c>
      <c r="AM25" s="6" t="s">
        <v>1816</v>
      </c>
      <c r="AN25" s="6" t="str">
        <f t="shared" ref="AN25:AR25" si="77">IF(EXACT(AO25,O25)=TRUE,"Y","N")</f>
        <v>N</v>
      </c>
      <c r="AO25" t="s">
        <v>1817</v>
      </c>
      <c r="AP25" t="str">
        <f t="shared" si="77"/>
        <v>N</v>
      </c>
      <c r="AQ25" t="s">
        <v>1818</v>
      </c>
      <c r="AR25" t="str">
        <f t="shared" si="77"/>
        <v>N</v>
      </c>
      <c r="AS25" t="s">
        <v>1819</v>
      </c>
      <c r="AT25" t="str">
        <f t="shared" si="19"/>
        <v>N</v>
      </c>
      <c r="AU25" t="s">
        <v>1820</v>
      </c>
      <c r="AV25" t="str">
        <f t="shared" si="20"/>
        <v>N</v>
      </c>
      <c r="AW25" t="s">
        <v>1821</v>
      </c>
      <c r="AX25" t="str">
        <f t="shared" ref="AX25:BB25" si="78">IF(EXACT(AY25,Y25)=TRUE,"Y","N")</f>
        <v>N</v>
      </c>
      <c r="AY25" t="s">
        <v>1822</v>
      </c>
      <c r="AZ25" t="str">
        <f t="shared" si="78"/>
        <v>N</v>
      </c>
      <c r="BA25" t="s">
        <v>1823</v>
      </c>
      <c r="BB25" t="str">
        <f t="shared" si="78"/>
        <v>N</v>
      </c>
      <c r="BC25" t="s">
        <v>1824</v>
      </c>
    </row>
    <row r="26" spans="1:55" x14ac:dyDescent="0.4">
      <c r="A26" s="7"/>
      <c r="B26" s="7"/>
      <c r="C26" s="7"/>
      <c r="D26" s="7"/>
      <c r="E26" s="7"/>
      <c r="F26" s="7"/>
      <c r="G26" s="24"/>
      <c r="H26" s="5"/>
      <c r="I26" s="24"/>
      <c r="J26" s="5"/>
      <c r="K26" s="24"/>
      <c r="L26" s="5"/>
      <c r="M26" s="27"/>
      <c r="N26" s="5"/>
      <c r="O26" s="27"/>
      <c r="P26" s="5"/>
      <c r="Q26" s="24"/>
      <c r="R26" s="5"/>
      <c r="S26" s="24"/>
      <c r="T26" s="5"/>
      <c r="U26" s="24"/>
      <c r="V26" s="5"/>
      <c r="W26" s="24"/>
      <c r="X26" s="5"/>
      <c r="Z26" s="5"/>
      <c r="AB26" s="5"/>
      <c r="AD26" s="5"/>
      <c r="AF26" s="6" t="str">
        <f t="shared" si="16"/>
        <v>N</v>
      </c>
      <c r="AG26" s="6" t="s">
        <v>1825</v>
      </c>
      <c r="AH26" t="str">
        <f t="shared" ref="AH26:AL26" si="79">IF(EXACT(AI26,I26)=TRUE,"Y","N")</f>
        <v>N</v>
      </c>
      <c r="AI26" t="s">
        <v>5743</v>
      </c>
      <c r="AJ26" t="str">
        <f t="shared" si="79"/>
        <v>N</v>
      </c>
      <c r="AK26" s="6" t="s">
        <v>1826</v>
      </c>
      <c r="AL26" s="6" t="str">
        <f t="shared" si="79"/>
        <v>N</v>
      </c>
      <c r="AM26" s="6" t="s">
        <v>1827</v>
      </c>
      <c r="AN26" s="6" t="str">
        <f t="shared" ref="AN26:AR26" si="80">IF(EXACT(AO26,O26)=TRUE,"Y","N")</f>
        <v>N</v>
      </c>
      <c r="AO26" t="s">
        <v>1828</v>
      </c>
      <c r="AP26" t="str">
        <f t="shared" si="80"/>
        <v>N</v>
      </c>
      <c r="AQ26" t="s">
        <v>1829</v>
      </c>
      <c r="AR26" t="str">
        <f t="shared" si="80"/>
        <v>N</v>
      </c>
      <c r="AS26" t="s">
        <v>1830</v>
      </c>
      <c r="AT26" t="str">
        <f t="shared" si="19"/>
        <v>N</v>
      </c>
      <c r="AU26" t="s">
        <v>1831</v>
      </c>
      <c r="AV26" t="str">
        <f t="shared" si="20"/>
        <v>N</v>
      </c>
      <c r="AW26" t="s">
        <v>1832</v>
      </c>
      <c r="AX26" t="str">
        <f t="shared" ref="AX26:BB26" si="81">IF(EXACT(AY26,Y26)=TRUE,"Y","N")</f>
        <v>N</v>
      </c>
      <c r="AY26" t="s">
        <v>1833</v>
      </c>
      <c r="AZ26" t="str">
        <f t="shared" si="81"/>
        <v>N</v>
      </c>
      <c r="BA26" t="s">
        <v>1834</v>
      </c>
      <c r="BB26" t="str">
        <f t="shared" si="81"/>
        <v>N</v>
      </c>
      <c r="BC26" t="s">
        <v>1835</v>
      </c>
    </row>
    <row r="27" spans="1:55" x14ac:dyDescent="0.4">
      <c r="A27" s="7"/>
      <c r="B27" s="7"/>
      <c r="C27" s="7"/>
      <c r="D27" s="7"/>
      <c r="E27" s="7"/>
      <c r="F27" s="7"/>
      <c r="G27" s="24"/>
      <c r="H27" s="5"/>
      <c r="I27" s="24"/>
      <c r="J27" s="5"/>
      <c r="K27" s="24"/>
      <c r="L27" s="5"/>
      <c r="M27" s="27"/>
      <c r="N27" s="5"/>
      <c r="O27" s="27"/>
      <c r="P27" s="5"/>
      <c r="Q27" s="24"/>
      <c r="R27" s="5"/>
      <c r="S27" s="24"/>
      <c r="T27" s="5"/>
      <c r="U27" s="24"/>
      <c r="V27" s="5"/>
      <c r="W27" s="24"/>
      <c r="X27" s="5"/>
      <c r="Z27" s="5"/>
      <c r="AB27" s="5"/>
      <c r="AD27" s="5"/>
      <c r="AF27" s="6" t="str">
        <f t="shared" si="16"/>
        <v>N</v>
      </c>
      <c r="AG27" s="6" t="s">
        <v>1836</v>
      </c>
      <c r="AH27" t="str">
        <f t="shared" ref="AH27:AL27" si="82">IF(EXACT(AI27,I27)=TRUE,"Y","N")</f>
        <v>N</v>
      </c>
      <c r="AI27" t="s">
        <v>1837</v>
      </c>
      <c r="AJ27" t="str">
        <f t="shared" si="82"/>
        <v>N</v>
      </c>
      <c r="AK27" s="6" t="s">
        <v>1838</v>
      </c>
      <c r="AL27" s="6" t="str">
        <f t="shared" si="82"/>
        <v>N</v>
      </c>
      <c r="AM27" s="6" t="s">
        <v>1839</v>
      </c>
      <c r="AN27" s="6" t="str">
        <f t="shared" ref="AN27:AR27" si="83">IF(EXACT(AO27,O27)=TRUE,"Y","N")</f>
        <v>N</v>
      </c>
      <c r="AO27" t="s">
        <v>1840</v>
      </c>
      <c r="AP27" t="str">
        <f t="shared" si="83"/>
        <v>N</v>
      </c>
      <c r="AQ27" t="s">
        <v>1841</v>
      </c>
      <c r="AR27" t="str">
        <f t="shared" si="83"/>
        <v>N</v>
      </c>
      <c r="AS27" t="s">
        <v>1842</v>
      </c>
      <c r="AT27" t="str">
        <f t="shared" si="19"/>
        <v>N</v>
      </c>
      <c r="AU27" t="s">
        <v>1843</v>
      </c>
      <c r="AV27" t="str">
        <f t="shared" si="20"/>
        <v>N</v>
      </c>
      <c r="AW27" t="s">
        <v>1844</v>
      </c>
      <c r="AX27" t="str">
        <f t="shared" ref="AX27:BB27" si="84">IF(EXACT(AY27,Y27)=TRUE,"Y","N")</f>
        <v>N</v>
      </c>
      <c r="AY27" t="s">
        <v>1845</v>
      </c>
      <c r="AZ27" t="str">
        <f t="shared" si="84"/>
        <v>N</v>
      </c>
      <c r="BA27" t="s">
        <v>1846</v>
      </c>
      <c r="BB27" t="str">
        <f t="shared" si="84"/>
        <v>N</v>
      </c>
      <c r="BC27" t="s">
        <v>1847</v>
      </c>
    </row>
    <row r="28" spans="1:55" x14ac:dyDescent="0.4">
      <c r="A28" s="7"/>
      <c r="B28" s="7"/>
      <c r="C28" s="7"/>
      <c r="D28" s="7"/>
      <c r="E28" s="7"/>
      <c r="F28" s="7"/>
      <c r="G28" s="24"/>
      <c r="H28" s="5"/>
      <c r="I28" s="24"/>
      <c r="J28" s="5"/>
      <c r="K28" s="24"/>
      <c r="L28" s="5"/>
      <c r="M28" s="27"/>
      <c r="N28" s="5"/>
      <c r="O28" s="27"/>
      <c r="P28" s="5"/>
      <c r="Q28" s="24"/>
      <c r="R28" s="5"/>
      <c r="S28" s="24"/>
      <c r="T28" s="5"/>
      <c r="U28" s="24"/>
      <c r="V28" s="5"/>
      <c r="W28" s="24"/>
      <c r="X28" s="5"/>
      <c r="Z28" s="5"/>
      <c r="AB28" s="5"/>
      <c r="AD28" s="5"/>
      <c r="AF28" s="6" t="str">
        <f t="shared" si="16"/>
        <v>N</v>
      </c>
      <c r="AG28" s="6" t="s">
        <v>1848</v>
      </c>
      <c r="AH28" t="str">
        <f t="shared" ref="AH28:AL28" si="85">IF(EXACT(AI28,I28)=TRUE,"Y","N")</f>
        <v>N</v>
      </c>
      <c r="AI28" t="s">
        <v>1849</v>
      </c>
      <c r="AJ28" t="str">
        <f t="shared" si="85"/>
        <v>N</v>
      </c>
      <c r="AK28" s="6" t="s">
        <v>1850</v>
      </c>
      <c r="AL28" s="6" t="str">
        <f t="shared" si="85"/>
        <v>N</v>
      </c>
      <c r="AM28" s="6" t="s">
        <v>1851</v>
      </c>
      <c r="AN28" s="6" t="str">
        <f t="shared" ref="AN28:AR28" si="86">IF(EXACT(AO28,O28)=TRUE,"Y","N")</f>
        <v>N</v>
      </c>
      <c r="AO28" t="s">
        <v>1852</v>
      </c>
      <c r="AP28" t="str">
        <f t="shared" si="86"/>
        <v>N</v>
      </c>
      <c r="AQ28" t="s">
        <v>1853</v>
      </c>
      <c r="AR28" t="str">
        <f t="shared" si="86"/>
        <v>N</v>
      </c>
      <c r="AS28" t="s">
        <v>1854</v>
      </c>
      <c r="AT28" t="str">
        <f t="shared" si="19"/>
        <v>N</v>
      </c>
      <c r="AU28" t="s">
        <v>1855</v>
      </c>
      <c r="AV28" t="str">
        <f t="shared" si="20"/>
        <v>N</v>
      </c>
      <c r="AW28" t="s">
        <v>1856</v>
      </c>
      <c r="AX28" t="str">
        <f t="shared" ref="AX28:BB28" si="87">IF(EXACT(AY28,Y28)=TRUE,"Y","N")</f>
        <v>N</v>
      </c>
      <c r="AY28" t="s">
        <v>1857</v>
      </c>
      <c r="AZ28" t="str">
        <f t="shared" si="87"/>
        <v>N</v>
      </c>
      <c r="BA28" t="s">
        <v>1858</v>
      </c>
      <c r="BB28" t="str">
        <f t="shared" si="87"/>
        <v>N</v>
      </c>
      <c r="BC28" t="s">
        <v>1859</v>
      </c>
    </row>
    <row r="29" spans="1:55" x14ac:dyDescent="0.4">
      <c r="A29" s="7"/>
      <c r="B29" s="7"/>
      <c r="C29" s="7"/>
      <c r="D29" s="7"/>
      <c r="E29" s="7"/>
      <c r="F29" s="7"/>
      <c r="G29" s="24"/>
      <c r="H29" s="5"/>
      <c r="I29" s="24"/>
      <c r="J29" s="5"/>
      <c r="K29" s="24"/>
      <c r="L29" s="5"/>
      <c r="M29" s="27"/>
      <c r="N29" s="5"/>
      <c r="O29" s="27"/>
      <c r="P29" s="5"/>
      <c r="Q29" s="24"/>
      <c r="R29" s="5"/>
      <c r="S29" s="24"/>
      <c r="T29" s="5"/>
      <c r="U29" s="24"/>
      <c r="V29" s="5"/>
      <c r="W29" s="24"/>
      <c r="X29" s="5"/>
      <c r="Z29" s="5"/>
      <c r="AB29" s="5"/>
      <c r="AD29" s="5"/>
      <c r="AF29" s="6" t="str">
        <f t="shared" si="16"/>
        <v>N</v>
      </c>
      <c r="AG29" s="6" t="s">
        <v>1860</v>
      </c>
      <c r="AH29" t="str">
        <f t="shared" ref="AH29:AL29" si="88">IF(EXACT(AI29,I29)=TRUE,"Y","N")</f>
        <v>N</v>
      </c>
      <c r="AI29" t="s">
        <v>1861</v>
      </c>
      <c r="AJ29" t="str">
        <f t="shared" si="88"/>
        <v>N</v>
      </c>
      <c r="AK29" s="6" t="s">
        <v>1862</v>
      </c>
      <c r="AL29" s="6" t="str">
        <f t="shared" si="88"/>
        <v>N</v>
      </c>
      <c r="AM29" s="6" t="s">
        <v>1863</v>
      </c>
      <c r="AN29" s="6" t="str">
        <f t="shared" ref="AN29:AR29" si="89">IF(EXACT(AO29,O29)=TRUE,"Y","N")</f>
        <v>N</v>
      </c>
      <c r="AO29" t="s">
        <v>1864</v>
      </c>
      <c r="AP29" t="str">
        <f t="shared" si="89"/>
        <v>N</v>
      </c>
      <c r="AQ29" t="s">
        <v>1865</v>
      </c>
      <c r="AR29" t="str">
        <f t="shared" si="89"/>
        <v>N</v>
      </c>
      <c r="AS29" t="s">
        <v>1866</v>
      </c>
      <c r="AT29" t="str">
        <f t="shared" si="19"/>
        <v>N</v>
      </c>
      <c r="AU29" t="s">
        <v>1867</v>
      </c>
      <c r="AV29" t="str">
        <f t="shared" si="20"/>
        <v>N</v>
      </c>
      <c r="AW29" t="s">
        <v>1868</v>
      </c>
      <c r="AX29" t="str">
        <f t="shared" ref="AX29:BB29" si="90">IF(EXACT(AY29,Y29)=TRUE,"Y","N")</f>
        <v>N</v>
      </c>
      <c r="AY29" t="s">
        <v>1869</v>
      </c>
      <c r="AZ29" t="str">
        <f t="shared" si="90"/>
        <v>N</v>
      </c>
      <c r="BA29" t="s">
        <v>1870</v>
      </c>
      <c r="BB29" t="str">
        <f t="shared" si="90"/>
        <v>N</v>
      </c>
      <c r="BC29" t="s">
        <v>1871</v>
      </c>
    </row>
    <row r="30" spans="1:55" x14ac:dyDescent="0.4">
      <c r="A30" s="7"/>
      <c r="B30" s="7"/>
      <c r="C30" s="7"/>
      <c r="D30" s="7"/>
      <c r="E30" s="7"/>
      <c r="F30" s="7"/>
      <c r="G30" s="24"/>
      <c r="H30" s="5"/>
      <c r="I30" s="24"/>
      <c r="J30" s="5"/>
      <c r="K30" s="24"/>
      <c r="L30" s="5"/>
      <c r="M30" s="27"/>
      <c r="N30" s="5"/>
      <c r="O30" s="27"/>
      <c r="P30" s="5"/>
      <c r="Q30" s="24"/>
      <c r="R30" s="5"/>
      <c r="S30" s="24"/>
      <c r="T30" s="5"/>
      <c r="U30" s="24"/>
      <c r="V30" s="5"/>
      <c r="W30" s="24"/>
      <c r="X30" s="5"/>
      <c r="Z30" s="5"/>
      <c r="AB30" s="5"/>
      <c r="AD30" s="5"/>
      <c r="AF30" s="6" t="str">
        <f t="shared" si="16"/>
        <v>N</v>
      </c>
      <c r="AG30" s="6" t="s">
        <v>1872</v>
      </c>
      <c r="AH30" t="str">
        <f t="shared" ref="AH30:AL30" si="91">IF(EXACT(AI30,I30)=TRUE,"Y","N")</f>
        <v>N</v>
      </c>
      <c r="AI30" t="s">
        <v>1873</v>
      </c>
      <c r="AJ30" t="str">
        <f t="shared" si="91"/>
        <v>N</v>
      </c>
      <c r="AK30" s="6" t="s">
        <v>1874</v>
      </c>
      <c r="AL30" s="6" t="str">
        <f t="shared" si="91"/>
        <v>N</v>
      </c>
      <c r="AM30" s="6" t="s">
        <v>1875</v>
      </c>
      <c r="AN30" s="6" t="str">
        <f t="shared" ref="AN30:AR30" si="92">IF(EXACT(AO30,O30)=TRUE,"Y","N")</f>
        <v>N</v>
      </c>
      <c r="AO30" t="s">
        <v>1876</v>
      </c>
      <c r="AP30" t="str">
        <f t="shared" si="92"/>
        <v>N</v>
      </c>
      <c r="AQ30" t="s">
        <v>1877</v>
      </c>
      <c r="AR30" t="str">
        <f t="shared" si="92"/>
        <v>N</v>
      </c>
      <c r="AS30" t="s">
        <v>1878</v>
      </c>
      <c r="AT30" t="str">
        <f t="shared" si="19"/>
        <v>N</v>
      </c>
      <c r="AU30" t="s">
        <v>1879</v>
      </c>
      <c r="AV30" t="str">
        <f t="shared" si="20"/>
        <v>N</v>
      </c>
      <c r="AW30" t="s">
        <v>1880</v>
      </c>
      <c r="AX30" t="str">
        <f t="shared" ref="AX30:BB30" si="93">IF(EXACT(AY30,Y30)=TRUE,"Y","N")</f>
        <v>N</v>
      </c>
      <c r="AY30" t="s">
        <v>5744</v>
      </c>
      <c r="AZ30" t="str">
        <f t="shared" si="93"/>
        <v>N</v>
      </c>
      <c r="BA30" t="s">
        <v>1881</v>
      </c>
      <c r="BB30" t="str">
        <f t="shared" si="93"/>
        <v>N</v>
      </c>
      <c r="BC30" t="s">
        <v>1882</v>
      </c>
    </row>
    <row r="31" spans="1:55" x14ac:dyDescent="0.4">
      <c r="A31" s="7"/>
      <c r="B31" s="7"/>
      <c r="C31" s="7"/>
      <c r="D31" s="7"/>
      <c r="E31" s="7"/>
      <c r="F31" s="7"/>
      <c r="G31" s="24"/>
      <c r="H31" s="5"/>
      <c r="I31" s="24"/>
      <c r="J31" s="5"/>
      <c r="K31" s="24"/>
      <c r="L31" s="5"/>
      <c r="M31" s="27"/>
      <c r="N31" s="5"/>
      <c r="O31" s="27"/>
      <c r="P31" s="5"/>
      <c r="Q31" s="24"/>
      <c r="R31" s="5"/>
      <c r="S31" s="24"/>
      <c r="T31" s="5"/>
      <c r="U31" s="24"/>
      <c r="V31" s="5"/>
      <c r="W31" s="24"/>
      <c r="X31" s="5"/>
      <c r="Z31" s="5"/>
      <c r="AB31" s="5"/>
      <c r="AD31" s="5"/>
      <c r="AF31" s="6" t="str">
        <f t="shared" si="16"/>
        <v>N</v>
      </c>
      <c r="AG31" s="6" t="s">
        <v>1883</v>
      </c>
      <c r="AH31" t="str">
        <f t="shared" ref="AH31:AL31" si="94">IF(EXACT(AI31,I31)=TRUE,"Y","N")</f>
        <v>N</v>
      </c>
      <c r="AI31" t="s">
        <v>1884</v>
      </c>
      <c r="AJ31" t="str">
        <f t="shared" si="94"/>
        <v>N</v>
      </c>
      <c r="AK31" s="6" t="s">
        <v>1885</v>
      </c>
      <c r="AL31" s="6" t="str">
        <f t="shared" si="94"/>
        <v>N</v>
      </c>
      <c r="AM31" s="6" t="s">
        <v>1886</v>
      </c>
      <c r="AN31" s="6" t="str">
        <f t="shared" ref="AN31:AR31" si="95">IF(EXACT(AO31,O31)=TRUE,"Y","N")</f>
        <v>N</v>
      </c>
      <c r="AO31" t="s">
        <v>1887</v>
      </c>
      <c r="AP31" t="str">
        <f t="shared" si="95"/>
        <v>N</v>
      </c>
      <c r="AQ31" t="s">
        <v>1888</v>
      </c>
      <c r="AR31" t="str">
        <f t="shared" si="95"/>
        <v>N</v>
      </c>
      <c r="AS31" t="s">
        <v>1889</v>
      </c>
      <c r="AT31" t="str">
        <f t="shared" si="19"/>
        <v>N</v>
      </c>
      <c r="AU31" t="s">
        <v>1890</v>
      </c>
      <c r="AV31" t="str">
        <f t="shared" si="20"/>
        <v>N</v>
      </c>
      <c r="AW31" t="s">
        <v>1891</v>
      </c>
      <c r="AX31" t="str">
        <f t="shared" ref="AX31:BB31" si="96">IF(EXACT(AY31,Y31)=TRUE,"Y","N")</f>
        <v>N</v>
      </c>
      <c r="AY31" t="s">
        <v>1892</v>
      </c>
      <c r="AZ31" t="str">
        <f t="shared" si="96"/>
        <v>N</v>
      </c>
      <c r="BA31" t="s">
        <v>1893</v>
      </c>
      <c r="BB31" t="str">
        <f t="shared" si="96"/>
        <v>N</v>
      </c>
      <c r="BC31" t="s">
        <v>1441</v>
      </c>
    </row>
    <row r="32" spans="1:55" x14ac:dyDescent="0.4">
      <c r="A32" s="7"/>
      <c r="B32" s="7"/>
      <c r="C32" s="7"/>
      <c r="D32" s="7"/>
      <c r="E32" s="7"/>
      <c r="F32" s="7"/>
      <c r="G32" s="24"/>
      <c r="H32" s="5"/>
      <c r="I32" s="24"/>
      <c r="J32" s="5"/>
      <c r="K32" s="24"/>
      <c r="L32" s="5"/>
      <c r="M32" s="27"/>
      <c r="N32" s="5"/>
      <c r="O32" s="27"/>
      <c r="P32" s="5"/>
      <c r="Q32" s="24"/>
      <c r="R32" s="5"/>
      <c r="S32" s="24"/>
      <c r="T32" s="5"/>
      <c r="U32" s="24"/>
      <c r="V32" s="5"/>
      <c r="W32" s="24"/>
      <c r="X32" s="5"/>
      <c r="Z32" s="5"/>
      <c r="AB32" s="5"/>
      <c r="AD32" s="5"/>
      <c r="AF32" s="6" t="str">
        <f t="shared" si="16"/>
        <v>N</v>
      </c>
      <c r="AG32" s="6" t="s">
        <v>1894</v>
      </c>
      <c r="AH32" t="str">
        <f t="shared" ref="AH32:AL32" si="97">IF(EXACT(AI32,I32)=TRUE,"Y","N")</f>
        <v>N</v>
      </c>
      <c r="AI32" t="s">
        <v>1895</v>
      </c>
      <c r="AJ32" t="str">
        <f t="shared" si="97"/>
        <v>N</v>
      </c>
      <c r="AK32" s="6" t="s">
        <v>1896</v>
      </c>
      <c r="AL32" s="6" t="str">
        <f t="shared" si="97"/>
        <v>N</v>
      </c>
      <c r="AM32" s="6" t="s">
        <v>1897</v>
      </c>
      <c r="AN32" s="6" t="str">
        <f t="shared" ref="AN32:AR32" si="98">IF(EXACT(AO32,O32)=TRUE,"Y","N")</f>
        <v>N</v>
      </c>
      <c r="AO32" t="s">
        <v>1898</v>
      </c>
      <c r="AP32" t="str">
        <f t="shared" si="98"/>
        <v>N</v>
      </c>
      <c r="AQ32" t="s">
        <v>1899</v>
      </c>
      <c r="AR32" t="str">
        <f t="shared" si="98"/>
        <v>N</v>
      </c>
      <c r="AS32" t="s">
        <v>1900</v>
      </c>
      <c r="AT32" t="str">
        <f t="shared" si="19"/>
        <v>N</v>
      </c>
      <c r="AU32" t="s">
        <v>1901</v>
      </c>
      <c r="AV32" t="str">
        <f t="shared" si="20"/>
        <v>N</v>
      </c>
      <c r="AW32" t="s">
        <v>1902</v>
      </c>
      <c r="AX32" t="str">
        <f t="shared" ref="AX32:BB32" si="99">IF(EXACT(AY32,Y32)=TRUE,"Y","N")</f>
        <v>N</v>
      </c>
      <c r="AY32" t="s">
        <v>1903</v>
      </c>
      <c r="AZ32" t="str">
        <f t="shared" si="99"/>
        <v>N</v>
      </c>
      <c r="BA32" t="s">
        <v>1904</v>
      </c>
      <c r="BB32" t="str">
        <f t="shared" si="99"/>
        <v>N</v>
      </c>
      <c r="BC32" t="s">
        <v>1190</v>
      </c>
    </row>
    <row r="33" spans="1:55" x14ac:dyDescent="0.4">
      <c r="A33" s="57" t="s">
        <v>244</v>
      </c>
      <c r="B33" s="58"/>
      <c r="C33" s="58"/>
      <c r="D33" s="58"/>
      <c r="E33" s="7"/>
      <c r="F33" s="7"/>
      <c r="G33" s="24"/>
      <c r="H33" s="5"/>
      <c r="I33" s="24"/>
      <c r="J33" s="5"/>
      <c r="K33" s="24"/>
      <c r="L33" s="5"/>
      <c r="M33" s="27"/>
      <c r="N33" s="5"/>
      <c r="O33" s="27"/>
      <c r="P33" s="5"/>
      <c r="Q33" s="24"/>
      <c r="R33" s="5"/>
      <c r="S33" s="24"/>
      <c r="T33" s="5"/>
      <c r="U33" s="24"/>
      <c r="V33" s="5"/>
      <c r="W33" s="24"/>
      <c r="X33" s="5"/>
      <c r="Z33" s="5"/>
      <c r="AB33" s="5"/>
      <c r="AD33" s="5"/>
      <c r="AF33" s="6" t="str">
        <f t="shared" si="16"/>
        <v>N</v>
      </c>
      <c r="AG33" s="6" t="s">
        <v>1905</v>
      </c>
      <c r="AH33" t="str">
        <f t="shared" ref="AH33:AL33" si="100">IF(EXACT(AI33,I33)=TRUE,"Y","N")</f>
        <v>N</v>
      </c>
      <c r="AI33" t="s">
        <v>1906</v>
      </c>
      <c r="AJ33" t="str">
        <f t="shared" si="100"/>
        <v>N</v>
      </c>
      <c r="AK33" s="6" t="s">
        <v>1907</v>
      </c>
      <c r="AL33" s="6" t="str">
        <f t="shared" si="100"/>
        <v>N</v>
      </c>
      <c r="AM33" s="6" t="s">
        <v>1908</v>
      </c>
      <c r="AN33" s="6" t="str">
        <f t="shared" ref="AN33:AR33" si="101">IF(EXACT(AO33,O33)=TRUE,"Y","N")</f>
        <v>N</v>
      </c>
      <c r="AO33" t="s">
        <v>1909</v>
      </c>
      <c r="AP33" t="str">
        <f t="shared" si="101"/>
        <v>N</v>
      </c>
      <c r="AQ33" t="s">
        <v>1910</v>
      </c>
      <c r="AR33" t="str">
        <f t="shared" si="101"/>
        <v>N</v>
      </c>
      <c r="AS33" t="s">
        <v>1911</v>
      </c>
      <c r="AT33" t="str">
        <f t="shared" si="19"/>
        <v>N</v>
      </c>
      <c r="AU33" t="s">
        <v>1912</v>
      </c>
      <c r="AV33" t="str">
        <f t="shared" si="20"/>
        <v>N</v>
      </c>
      <c r="AW33" t="s">
        <v>1913</v>
      </c>
      <c r="AX33" t="str">
        <f t="shared" ref="AX33:BB33" si="102">IF(EXACT(AY33,Y33)=TRUE,"Y","N")</f>
        <v>N</v>
      </c>
      <c r="AY33" t="s">
        <v>1914</v>
      </c>
      <c r="AZ33" t="str">
        <f t="shared" si="102"/>
        <v>N</v>
      </c>
      <c r="BA33" t="s">
        <v>1915</v>
      </c>
      <c r="BB33" t="str">
        <f t="shared" si="102"/>
        <v>N</v>
      </c>
      <c r="BC33" t="s">
        <v>1916</v>
      </c>
    </row>
    <row r="34" spans="1:55" x14ac:dyDescent="0.4">
      <c r="A34" s="58"/>
      <c r="B34" s="58"/>
      <c r="C34" s="58"/>
      <c r="D34" s="58"/>
      <c r="E34" s="7"/>
      <c r="F34" s="7"/>
      <c r="G34" s="24"/>
      <c r="H34" s="5"/>
      <c r="I34" s="24"/>
      <c r="J34" s="5"/>
      <c r="K34" s="24"/>
      <c r="L34" s="5"/>
      <c r="M34" s="27"/>
      <c r="N34" s="5"/>
      <c r="O34" s="27"/>
      <c r="P34" s="5"/>
      <c r="Q34" s="24"/>
      <c r="R34" s="5"/>
      <c r="S34" s="24"/>
      <c r="T34" s="5"/>
      <c r="U34" s="24"/>
      <c r="V34" s="5"/>
      <c r="W34" s="24"/>
      <c r="X34" s="5"/>
      <c r="Z34" s="5"/>
      <c r="AB34" s="5"/>
      <c r="AD34" s="5"/>
      <c r="AF34" s="6" t="str">
        <f t="shared" si="16"/>
        <v>N</v>
      </c>
      <c r="AG34" s="6" t="s">
        <v>1917</v>
      </c>
      <c r="AH34" t="str">
        <f t="shared" ref="AH34:AL34" si="103">IF(EXACT(AI34,I34)=TRUE,"Y","N")</f>
        <v>N</v>
      </c>
      <c r="AI34" t="s">
        <v>1918</v>
      </c>
      <c r="AJ34" t="str">
        <f t="shared" si="103"/>
        <v>N</v>
      </c>
      <c r="AK34" s="6" t="s">
        <v>1919</v>
      </c>
      <c r="AL34" s="6" t="str">
        <f t="shared" si="103"/>
        <v>N</v>
      </c>
      <c r="AM34" s="6" t="s">
        <v>1920</v>
      </c>
      <c r="AN34" s="6" t="str">
        <f t="shared" ref="AN34:AR34" si="104">IF(EXACT(AO34,O34)=TRUE,"Y","N")</f>
        <v>N</v>
      </c>
      <c r="AO34" t="s">
        <v>1921</v>
      </c>
      <c r="AP34" t="str">
        <f t="shared" si="104"/>
        <v>N</v>
      </c>
      <c r="AQ34" t="s">
        <v>1922</v>
      </c>
      <c r="AR34" t="str">
        <f t="shared" si="104"/>
        <v>N</v>
      </c>
      <c r="AS34" t="s">
        <v>1923</v>
      </c>
      <c r="AT34" t="str">
        <f t="shared" si="19"/>
        <v>N</v>
      </c>
      <c r="AU34" t="s">
        <v>1924</v>
      </c>
      <c r="AV34" t="str">
        <f t="shared" si="20"/>
        <v>N</v>
      </c>
      <c r="AW34" t="s">
        <v>1925</v>
      </c>
      <c r="AX34" t="str">
        <f t="shared" ref="AX34:BB34" si="105">IF(EXACT(AY34,Y34)=TRUE,"Y","N")</f>
        <v>N</v>
      </c>
      <c r="AY34" t="s">
        <v>1926</v>
      </c>
      <c r="AZ34" t="str">
        <f t="shared" si="105"/>
        <v>N</v>
      </c>
      <c r="BA34" t="s">
        <v>1927</v>
      </c>
      <c r="BB34" t="str">
        <f t="shared" si="105"/>
        <v>N</v>
      </c>
      <c r="BC34" t="s">
        <v>1928</v>
      </c>
    </row>
    <row r="35" spans="1:55" x14ac:dyDescent="0.4">
      <c r="A35" s="58"/>
      <c r="B35" s="58"/>
      <c r="C35" s="58"/>
      <c r="D35" s="58"/>
      <c r="E35" s="7"/>
      <c r="F35" s="7"/>
      <c r="G35" s="24"/>
      <c r="H35" s="5"/>
      <c r="I35" s="24"/>
      <c r="J35" s="5"/>
      <c r="K35" s="24"/>
      <c r="L35" s="5"/>
      <c r="M35" s="27"/>
      <c r="N35" s="5"/>
      <c r="O35" s="27"/>
      <c r="P35" s="5"/>
      <c r="Q35" s="24"/>
      <c r="R35" s="5"/>
      <c r="S35" s="24"/>
      <c r="T35" s="5"/>
      <c r="U35" s="24"/>
      <c r="V35" s="5"/>
      <c r="W35" s="24"/>
      <c r="X35" s="5"/>
      <c r="Z35" s="5"/>
      <c r="AB35" s="5"/>
      <c r="AD35" s="5"/>
      <c r="AF35" s="6" t="str">
        <f t="shared" si="16"/>
        <v>N</v>
      </c>
      <c r="AG35" s="6" t="s">
        <v>1929</v>
      </c>
      <c r="AH35" t="str">
        <f t="shared" ref="AH35:AL35" si="106">IF(EXACT(AI35,I35)=TRUE,"Y","N")</f>
        <v>N</v>
      </c>
      <c r="AI35" t="s">
        <v>1930</v>
      </c>
      <c r="AJ35" t="str">
        <f t="shared" si="106"/>
        <v>N</v>
      </c>
      <c r="AK35" s="6" t="s">
        <v>1931</v>
      </c>
      <c r="AL35" s="6" t="str">
        <f t="shared" si="106"/>
        <v>N</v>
      </c>
      <c r="AM35" s="6" t="s">
        <v>1932</v>
      </c>
      <c r="AN35" s="6" t="str">
        <f t="shared" ref="AN35:AR35" si="107">IF(EXACT(AO35,O35)=TRUE,"Y","N")</f>
        <v>N</v>
      </c>
      <c r="AO35" t="s">
        <v>1933</v>
      </c>
      <c r="AP35" t="str">
        <f t="shared" si="107"/>
        <v>N</v>
      </c>
      <c r="AQ35" t="s">
        <v>1934</v>
      </c>
      <c r="AR35" t="str">
        <f t="shared" si="107"/>
        <v>N</v>
      </c>
      <c r="AS35" t="s">
        <v>1935</v>
      </c>
      <c r="AT35" t="str">
        <f t="shared" si="19"/>
        <v>N</v>
      </c>
      <c r="AU35" t="s">
        <v>1936</v>
      </c>
      <c r="AV35" t="str">
        <f t="shared" si="20"/>
        <v>N</v>
      </c>
      <c r="AW35" t="s">
        <v>1937</v>
      </c>
      <c r="AX35" t="str">
        <f t="shared" ref="AX35:BB35" si="108">IF(EXACT(AY35,Y35)=TRUE,"Y","N")</f>
        <v>N</v>
      </c>
      <c r="AY35" t="s">
        <v>1938</v>
      </c>
      <c r="AZ35" t="str">
        <f t="shared" si="108"/>
        <v>N</v>
      </c>
      <c r="BA35" t="s">
        <v>1939</v>
      </c>
      <c r="BB35" t="str">
        <f t="shared" si="108"/>
        <v>N</v>
      </c>
      <c r="BC35" t="s">
        <v>1940</v>
      </c>
    </row>
    <row r="36" spans="1:55" x14ac:dyDescent="0.4">
      <c r="A36" s="58"/>
      <c r="B36" s="58"/>
      <c r="C36" s="58"/>
      <c r="D36" s="58"/>
      <c r="E36" s="7"/>
      <c r="F36" s="7"/>
      <c r="G36" s="24"/>
      <c r="H36" s="5"/>
      <c r="I36" s="24"/>
      <c r="J36" s="5"/>
      <c r="K36" s="24"/>
      <c r="L36" s="5"/>
      <c r="M36" s="27"/>
      <c r="N36" s="5"/>
      <c r="O36" s="27"/>
      <c r="P36" s="5"/>
      <c r="Q36" s="24"/>
      <c r="R36" s="5"/>
      <c r="S36" s="24"/>
      <c r="T36" s="5"/>
      <c r="U36" s="24"/>
      <c r="V36" s="5"/>
      <c r="W36" s="24"/>
      <c r="X36" s="5"/>
      <c r="Z36" s="5"/>
      <c r="AB36" s="5"/>
      <c r="AD36" s="5"/>
      <c r="AF36" s="6" t="str">
        <f t="shared" si="16"/>
        <v>N</v>
      </c>
      <c r="AG36" s="6" t="s">
        <v>1941</v>
      </c>
      <c r="AH36" t="str">
        <f t="shared" ref="AH36:AL36" si="109">IF(EXACT(AI36,I36)=TRUE,"Y","N")</f>
        <v>N</v>
      </c>
      <c r="AI36" t="s">
        <v>1942</v>
      </c>
      <c r="AJ36" t="str">
        <f t="shared" si="109"/>
        <v>N</v>
      </c>
      <c r="AK36" s="6" t="s">
        <v>1943</v>
      </c>
      <c r="AL36" s="6" t="str">
        <f t="shared" si="109"/>
        <v>N</v>
      </c>
      <c r="AM36" s="6" t="s">
        <v>1944</v>
      </c>
      <c r="AN36" s="6" t="str">
        <f t="shared" ref="AN36:AR36" si="110">IF(EXACT(AO36,O36)=TRUE,"Y","N")</f>
        <v>N</v>
      </c>
      <c r="AO36" t="s">
        <v>1945</v>
      </c>
      <c r="AP36" t="str">
        <f t="shared" si="110"/>
        <v>N</v>
      </c>
      <c r="AQ36" t="s">
        <v>1946</v>
      </c>
      <c r="AR36" t="str">
        <f t="shared" si="110"/>
        <v>N</v>
      </c>
      <c r="AS36" t="s">
        <v>1947</v>
      </c>
      <c r="AT36" t="str">
        <f t="shared" si="19"/>
        <v>N</v>
      </c>
      <c r="AU36" t="s">
        <v>1948</v>
      </c>
      <c r="AV36" t="str">
        <f t="shared" si="20"/>
        <v>N</v>
      </c>
      <c r="AW36" t="s">
        <v>1949</v>
      </c>
      <c r="AX36" t="str">
        <f t="shared" ref="AX36:BB36" si="111">IF(EXACT(AY36,Y36)=TRUE,"Y","N")</f>
        <v>N</v>
      </c>
      <c r="AY36" t="s">
        <v>1950</v>
      </c>
      <c r="AZ36" t="str">
        <f t="shared" si="111"/>
        <v>N</v>
      </c>
      <c r="BA36" t="s">
        <v>1951</v>
      </c>
      <c r="BB36" t="str">
        <f t="shared" si="111"/>
        <v>N</v>
      </c>
      <c r="BC36" t="s">
        <v>1952</v>
      </c>
    </row>
    <row r="37" spans="1:55" x14ac:dyDescent="0.4">
      <c r="A37" s="58"/>
      <c r="B37" s="58"/>
      <c r="C37" s="58"/>
      <c r="D37" s="58"/>
      <c r="E37" s="7"/>
      <c r="F37" s="7"/>
      <c r="G37" s="24"/>
      <c r="H37" s="5"/>
      <c r="I37" s="24"/>
      <c r="J37" s="5"/>
      <c r="K37" s="24"/>
      <c r="L37" s="5"/>
      <c r="M37" s="27"/>
      <c r="N37" s="5"/>
      <c r="O37" s="27"/>
      <c r="P37" s="5"/>
      <c r="Q37" s="24"/>
      <c r="R37" s="5"/>
      <c r="S37" s="24"/>
      <c r="T37" s="5"/>
      <c r="U37" s="24"/>
      <c r="V37" s="5"/>
      <c r="W37" s="24"/>
      <c r="X37" s="5"/>
      <c r="Z37" s="5"/>
      <c r="AB37" s="5"/>
      <c r="AD37" s="5"/>
      <c r="AF37" s="6" t="str">
        <f t="shared" si="16"/>
        <v>N</v>
      </c>
      <c r="AG37" s="6" t="s">
        <v>1953</v>
      </c>
      <c r="AH37" t="str">
        <f t="shared" ref="AH37:AL37" si="112">IF(EXACT(AI37,I37)=TRUE,"Y","N")</f>
        <v>N</v>
      </c>
      <c r="AI37" t="s">
        <v>1954</v>
      </c>
      <c r="AJ37" t="str">
        <f t="shared" si="112"/>
        <v>N</v>
      </c>
      <c r="AK37" s="6" t="s">
        <v>1955</v>
      </c>
      <c r="AL37" s="6" t="str">
        <f t="shared" si="112"/>
        <v>N</v>
      </c>
      <c r="AM37" s="6" t="s">
        <v>1956</v>
      </c>
      <c r="AN37" s="6" t="str">
        <f t="shared" ref="AN37:AR37" si="113">IF(EXACT(AO37,O37)=TRUE,"Y","N")</f>
        <v>N</v>
      </c>
      <c r="AO37" t="s">
        <v>1957</v>
      </c>
      <c r="AP37" t="str">
        <f t="shared" si="113"/>
        <v>N</v>
      </c>
      <c r="AQ37" t="s">
        <v>1958</v>
      </c>
      <c r="AR37" t="str">
        <f t="shared" si="113"/>
        <v>N</v>
      </c>
      <c r="AS37" t="s">
        <v>1959</v>
      </c>
      <c r="AT37" t="str">
        <f t="shared" si="19"/>
        <v>N</v>
      </c>
      <c r="AU37" t="s">
        <v>1960</v>
      </c>
      <c r="AV37" t="str">
        <f t="shared" si="20"/>
        <v>N</v>
      </c>
      <c r="AW37" t="s">
        <v>1961</v>
      </c>
      <c r="AX37" t="str">
        <f t="shared" ref="AX37:BB37" si="114">IF(EXACT(AY37,Y37)=TRUE,"Y","N")</f>
        <v>N</v>
      </c>
      <c r="AY37" t="s">
        <v>1962</v>
      </c>
      <c r="AZ37" t="str">
        <f t="shared" si="114"/>
        <v>N</v>
      </c>
      <c r="BA37" t="s">
        <v>1963</v>
      </c>
      <c r="BB37" t="str">
        <f t="shared" si="114"/>
        <v>N</v>
      </c>
      <c r="BC37" t="s">
        <v>1964</v>
      </c>
    </row>
    <row r="38" spans="1:55" x14ac:dyDescent="0.4">
      <c r="A38" s="58"/>
      <c r="B38" s="58"/>
      <c r="C38" s="58"/>
      <c r="D38" s="58"/>
      <c r="E38" s="7"/>
      <c r="F38" s="7"/>
      <c r="G38" s="24"/>
      <c r="H38" s="5"/>
      <c r="I38" s="24"/>
      <c r="J38" s="5"/>
      <c r="K38" s="24"/>
      <c r="L38" s="5"/>
      <c r="M38" s="27"/>
      <c r="N38" s="5"/>
      <c r="O38" s="27"/>
      <c r="P38" s="5"/>
      <c r="Q38" s="24"/>
      <c r="R38" s="5"/>
      <c r="S38" s="24"/>
      <c r="T38" s="5"/>
      <c r="U38" s="24"/>
      <c r="V38" s="5"/>
      <c r="W38" s="24"/>
      <c r="X38" s="5"/>
      <c r="Z38" s="5"/>
      <c r="AB38" s="5"/>
      <c r="AD38" s="5"/>
      <c r="AF38" s="6" t="str">
        <f t="shared" si="16"/>
        <v>N</v>
      </c>
      <c r="AG38" s="6" t="s">
        <v>1965</v>
      </c>
      <c r="AH38" t="str">
        <f t="shared" ref="AH38:AL38" si="115">IF(EXACT(AI38,I38)=TRUE,"Y","N")</f>
        <v>N</v>
      </c>
      <c r="AI38" t="s">
        <v>1966</v>
      </c>
      <c r="AJ38" t="str">
        <f t="shared" si="115"/>
        <v>N</v>
      </c>
      <c r="AK38" s="6" t="s">
        <v>1967</v>
      </c>
      <c r="AL38" s="6" t="str">
        <f t="shared" si="115"/>
        <v>N</v>
      </c>
      <c r="AM38" s="6" t="s">
        <v>1968</v>
      </c>
      <c r="AN38" s="6" t="str">
        <f t="shared" ref="AN38:AR38" si="116">IF(EXACT(AO38,O38)=TRUE,"Y","N")</f>
        <v>N</v>
      </c>
      <c r="AO38" t="s">
        <v>1969</v>
      </c>
      <c r="AP38" t="str">
        <f t="shared" si="116"/>
        <v>N</v>
      </c>
      <c r="AQ38" t="s">
        <v>1970</v>
      </c>
      <c r="AR38" t="str">
        <f t="shared" si="116"/>
        <v>N</v>
      </c>
      <c r="AS38" t="s">
        <v>1971</v>
      </c>
      <c r="AT38" t="str">
        <f t="shared" si="19"/>
        <v>N</v>
      </c>
      <c r="AU38" t="s">
        <v>1972</v>
      </c>
      <c r="AV38" t="str">
        <f t="shared" si="20"/>
        <v>N</v>
      </c>
      <c r="AW38" t="s">
        <v>1973</v>
      </c>
      <c r="AX38" t="str">
        <f t="shared" ref="AX38:BB38" si="117">IF(EXACT(AY38,Y38)=TRUE,"Y","N")</f>
        <v>N</v>
      </c>
      <c r="AY38" t="s">
        <v>1974</v>
      </c>
      <c r="AZ38" t="str">
        <f t="shared" si="117"/>
        <v>N</v>
      </c>
      <c r="BA38" t="s">
        <v>1975</v>
      </c>
      <c r="BB38" t="str">
        <f t="shared" si="117"/>
        <v>N</v>
      </c>
      <c r="BC38" t="s">
        <v>1238</v>
      </c>
    </row>
    <row r="39" spans="1:55" x14ac:dyDescent="0.4">
      <c r="A39" s="58"/>
      <c r="B39" s="58"/>
      <c r="C39" s="58"/>
      <c r="D39" s="58"/>
      <c r="E39" s="7"/>
      <c r="F39" s="7"/>
      <c r="G39" s="24"/>
      <c r="H39" s="5"/>
      <c r="I39" s="24"/>
      <c r="J39" s="5"/>
      <c r="K39" s="24"/>
      <c r="L39" s="5"/>
      <c r="M39" s="27"/>
      <c r="N39" s="5"/>
      <c r="O39" s="27"/>
      <c r="P39" s="5"/>
      <c r="Q39" s="24"/>
      <c r="R39" s="5"/>
      <c r="S39" s="24"/>
      <c r="T39" s="5"/>
      <c r="U39" s="24"/>
      <c r="V39" s="5"/>
      <c r="W39" s="24"/>
      <c r="X39" s="5"/>
      <c r="Z39" s="5"/>
      <c r="AB39" s="5"/>
      <c r="AD39" s="5"/>
      <c r="AF39" s="6" t="str">
        <f t="shared" si="16"/>
        <v>N</v>
      </c>
      <c r="AG39" s="6" t="s">
        <v>1976</v>
      </c>
      <c r="AH39" t="str">
        <f t="shared" ref="AH39:AL39" si="118">IF(EXACT(AI39,I39)=TRUE,"Y","N")</f>
        <v>N</v>
      </c>
      <c r="AI39" t="s">
        <v>1977</v>
      </c>
      <c r="AJ39" t="str">
        <f t="shared" si="118"/>
        <v>N</v>
      </c>
      <c r="AK39" s="6" t="s">
        <v>1978</v>
      </c>
      <c r="AL39" s="6" t="str">
        <f t="shared" si="118"/>
        <v>N</v>
      </c>
      <c r="AM39" s="6" t="s">
        <v>1979</v>
      </c>
      <c r="AN39" s="6" t="str">
        <f t="shared" ref="AN39:AR39" si="119">IF(EXACT(AO39,O39)=TRUE,"Y","N")</f>
        <v>N</v>
      </c>
      <c r="AO39" t="s">
        <v>1980</v>
      </c>
      <c r="AP39" t="str">
        <f t="shared" si="119"/>
        <v>N</v>
      </c>
      <c r="AQ39" t="s">
        <v>1981</v>
      </c>
      <c r="AR39" t="str">
        <f t="shared" si="119"/>
        <v>N</v>
      </c>
      <c r="AS39" t="s">
        <v>1982</v>
      </c>
      <c r="AT39" t="str">
        <f t="shared" si="19"/>
        <v>N</v>
      </c>
      <c r="AU39" t="s">
        <v>1983</v>
      </c>
      <c r="AV39" t="str">
        <f t="shared" si="20"/>
        <v>N</v>
      </c>
      <c r="AW39" t="s">
        <v>1984</v>
      </c>
      <c r="AX39" t="str">
        <f t="shared" ref="AX39:BB39" si="120">IF(EXACT(AY39,Y39)=TRUE,"Y","N")</f>
        <v>N</v>
      </c>
      <c r="AY39" t="s">
        <v>1985</v>
      </c>
      <c r="AZ39" t="str">
        <f t="shared" si="120"/>
        <v>N</v>
      </c>
      <c r="BA39" t="s">
        <v>1986</v>
      </c>
      <c r="BB39" t="str">
        <f t="shared" si="120"/>
        <v>N</v>
      </c>
      <c r="BC39" t="s">
        <v>1987</v>
      </c>
    </row>
    <row r="40" spans="1:55" x14ac:dyDescent="0.4">
      <c r="A40" s="58"/>
      <c r="B40" s="58"/>
      <c r="C40" s="58"/>
      <c r="D40" s="58"/>
      <c r="E40" s="7"/>
      <c r="F40" s="7"/>
      <c r="G40" s="24"/>
      <c r="H40" s="5"/>
      <c r="I40" s="24"/>
      <c r="J40" s="5"/>
      <c r="K40" s="24"/>
      <c r="L40" s="5"/>
      <c r="M40" s="27"/>
      <c r="N40" s="5"/>
      <c r="O40" s="27"/>
      <c r="P40" s="5"/>
      <c r="Q40" s="24"/>
      <c r="R40" s="5"/>
      <c r="S40" s="24"/>
      <c r="T40" s="5"/>
      <c r="U40" s="24"/>
      <c r="V40" s="5"/>
      <c r="W40" s="24"/>
      <c r="X40" s="5"/>
      <c r="Z40" s="5"/>
      <c r="AB40" s="5"/>
      <c r="AD40" s="5"/>
      <c r="AF40" s="6" t="str">
        <f t="shared" si="16"/>
        <v>N</v>
      </c>
      <c r="AG40" s="6" t="s">
        <v>1988</v>
      </c>
      <c r="AH40" t="str">
        <f t="shared" ref="AH40:AL40" si="121">IF(EXACT(AI40,I40)=TRUE,"Y","N")</f>
        <v>N</v>
      </c>
      <c r="AI40" t="s">
        <v>1989</v>
      </c>
      <c r="AJ40" t="str">
        <f t="shared" si="121"/>
        <v>N</v>
      </c>
      <c r="AK40" s="6" t="s">
        <v>1990</v>
      </c>
      <c r="AL40" s="6" t="str">
        <f t="shared" si="121"/>
        <v>N</v>
      </c>
      <c r="AM40" s="6" t="s">
        <v>1991</v>
      </c>
      <c r="AN40" s="6" t="str">
        <f t="shared" ref="AN40:AR40" si="122">IF(EXACT(AO40,O40)=TRUE,"Y","N")</f>
        <v>N</v>
      </c>
      <c r="AO40" t="s">
        <v>1992</v>
      </c>
      <c r="AP40" t="str">
        <f t="shared" si="122"/>
        <v>N</v>
      </c>
      <c r="AQ40" t="s">
        <v>1993</v>
      </c>
      <c r="AR40" t="str">
        <f t="shared" si="122"/>
        <v>N</v>
      </c>
      <c r="AS40" t="s">
        <v>1994</v>
      </c>
      <c r="AT40" t="str">
        <f t="shared" si="19"/>
        <v>N</v>
      </c>
      <c r="AU40" t="s">
        <v>1995</v>
      </c>
      <c r="AV40" t="str">
        <f t="shared" si="20"/>
        <v>N</v>
      </c>
      <c r="AW40" t="s">
        <v>1996</v>
      </c>
      <c r="AX40" t="str">
        <f t="shared" ref="AX40:BB40" si="123">IF(EXACT(AY40,Y40)=TRUE,"Y","N")</f>
        <v>N</v>
      </c>
      <c r="AY40" t="s">
        <v>1997</v>
      </c>
      <c r="AZ40" t="str">
        <f t="shared" si="123"/>
        <v>N</v>
      </c>
      <c r="BA40" t="s">
        <v>1998</v>
      </c>
      <c r="BB40" t="str">
        <f t="shared" si="123"/>
        <v>N</v>
      </c>
      <c r="BC40" t="s">
        <v>1999</v>
      </c>
    </row>
    <row r="41" spans="1:55" x14ac:dyDescent="0.4">
      <c r="A41" s="7"/>
      <c r="B41" s="7"/>
      <c r="C41" s="7"/>
      <c r="D41" s="7"/>
      <c r="E41" s="7"/>
      <c r="F41" s="7"/>
      <c r="G41" s="24"/>
      <c r="H41" s="5"/>
      <c r="I41" s="24"/>
      <c r="J41" s="5"/>
      <c r="K41" s="24"/>
      <c r="L41" s="5"/>
      <c r="M41" s="27"/>
      <c r="N41" s="5"/>
      <c r="O41" s="27"/>
      <c r="P41" s="5"/>
      <c r="Q41" s="24"/>
      <c r="R41" s="5"/>
      <c r="S41" s="24"/>
      <c r="T41" s="5"/>
      <c r="U41" s="24"/>
      <c r="V41" s="5"/>
      <c r="W41" s="24"/>
      <c r="X41" s="5"/>
      <c r="Z41" s="5"/>
      <c r="AB41" s="5"/>
      <c r="AD41" s="5"/>
      <c r="AF41" s="6" t="str">
        <f t="shared" si="16"/>
        <v>N</v>
      </c>
      <c r="AG41" s="6" t="s">
        <v>2000</v>
      </c>
      <c r="AH41" t="str">
        <f t="shared" ref="AH41:AL41" si="124">IF(EXACT(AI41,I41)=TRUE,"Y","N")</f>
        <v>N</v>
      </c>
      <c r="AI41" t="s">
        <v>2001</v>
      </c>
      <c r="AJ41" t="str">
        <f t="shared" si="124"/>
        <v>N</v>
      </c>
      <c r="AK41" s="6" t="s">
        <v>2002</v>
      </c>
      <c r="AL41" s="6" t="str">
        <f t="shared" si="124"/>
        <v>N</v>
      </c>
      <c r="AM41" s="6" t="s">
        <v>2003</v>
      </c>
      <c r="AN41" s="6" t="str">
        <f t="shared" ref="AN41:AR41" si="125">IF(EXACT(AO41,O41)=TRUE,"Y","N")</f>
        <v>N</v>
      </c>
      <c r="AO41" t="s">
        <v>2004</v>
      </c>
      <c r="AP41" t="str">
        <f t="shared" si="125"/>
        <v>N</v>
      </c>
      <c r="AQ41" t="s">
        <v>2005</v>
      </c>
      <c r="AR41" t="str">
        <f t="shared" si="125"/>
        <v>N</v>
      </c>
      <c r="AS41" t="s">
        <v>2006</v>
      </c>
      <c r="AT41" t="str">
        <f t="shared" si="19"/>
        <v>N</v>
      </c>
      <c r="AU41" t="s">
        <v>2007</v>
      </c>
      <c r="AV41" t="str">
        <f t="shared" si="20"/>
        <v>N</v>
      </c>
      <c r="AW41" t="s">
        <v>2008</v>
      </c>
      <c r="AX41" t="str">
        <f t="shared" ref="AX41:BB41" si="126">IF(EXACT(AY41,Y41)=TRUE,"Y","N")</f>
        <v>N</v>
      </c>
      <c r="AY41" t="s">
        <v>2009</v>
      </c>
      <c r="AZ41" t="str">
        <f t="shared" si="126"/>
        <v>N</v>
      </c>
      <c r="BA41" t="s">
        <v>2010</v>
      </c>
      <c r="BB41" t="str">
        <f t="shared" si="126"/>
        <v>N</v>
      </c>
      <c r="BC41" t="s">
        <v>2011</v>
      </c>
    </row>
    <row r="42" spans="1:55" x14ac:dyDescent="0.4">
      <c r="A42" s="7"/>
      <c r="B42" s="7"/>
      <c r="C42" s="7"/>
      <c r="D42" s="7"/>
      <c r="E42" s="7"/>
      <c r="F42" s="7"/>
      <c r="G42" s="24"/>
      <c r="H42" s="5"/>
      <c r="I42" s="24"/>
      <c r="J42" s="5"/>
      <c r="K42" s="24"/>
      <c r="L42" s="5"/>
      <c r="M42" s="27"/>
      <c r="N42" s="5"/>
      <c r="O42" s="27"/>
      <c r="P42" s="5"/>
      <c r="Q42" s="24"/>
      <c r="R42" s="5"/>
      <c r="S42" s="24"/>
      <c r="T42" s="5"/>
      <c r="U42" s="24"/>
      <c r="V42" s="5"/>
      <c r="W42" s="24"/>
      <c r="X42" s="5"/>
      <c r="Z42" s="5"/>
      <c r="AB42" s="5"/>
      <c r="AD42" s="5"/>
      <c r="AF42" s="6" t="str">
        <f t="shared" si="16"/>
        <v>N</v>
      </c>
      <c r="AG42" s="6" t="s">
        <v>2012</v>
      </c>
      <c r="AH42" t="str">
        <f t="shared" ref="AH42:AL42" si="127">IF(EXACT(AI42,I42)=TRUE,"Y","N")</f>
        <v>N</v>
      </c>
      <c r="AI42" t="s">
        <v>2013</v>
      </c>
      <c r="AJ42" t="str">
        <f t="shared" si="127"/>
        <v>N</v>
      </c>
      <c r="AK42" s="6" t="s">
        <v>2014</v>
      </c>
      <c r="AL42" s="6" t="str">
        <f t="shared" si="127"/>
        <v>N</v>
      </c>
      <c r="AM42" s="6" t="s">
        <v>2015</v>
      </c>
      <c r="AN42" s="6" t="str">
        <f t="shared" ref="AN42:AR42" si="128">IF(EXACT(AO42,O42)=TRUE,"Y","N")</f>
        <v>N</v>
      </c>
      <c r="AO42" t="s">
        <v>2016</v>
      </c>
      <c r="AP42" t="str">
        <f t="shared" si="128"/>
        <v>N</v>
      </c>
      <c r="AQ42" t="s">
        <v>2017</v>
      </c>
      <c r="AR42" t="str">
        <f t="shared" si="128"/>
        <v>N</v>
      </c>
      <c r="AS42" t="s">
        <v>2018</v>
      </c>
      <c r="AT42" t="str">
        <f t="shared" si="19"/>
        <v>N</v>
      </c>
      <c r="AU42" t="s">
        <v>2019</v>
      </c>
      <c r="AV42" t="str">
        <f t="shared" si="20"/>
        <v>N</v>
      </c>
      <c r="AW42" t="s">
        <v>2020</v>
      </c>
      <c r="AX42" t="str">
        <f t="shared" ref="AX42:BB42" si="129">IF(EXACT(AY42,Y42)=TRUE,"Y","N")</f>
        <v>N</v>
      </c>
      <c r="AY42" t="s">
        <v>2021</v>
      </c>
      <c r="AZ42" t="str">
        <f t="shared" si="129"/>
        <v>N</v>
      </c>
      <c r="BA42" t="s">
        <v>2022</v>
      </c>
      <c r="BB42" t="str">
        <f t="shared" si="129"/>
        <v>N</v>
      </c>
      <c r="BC42" t="s">
        <v>2023</v>
      </c>
    </row>
    <row r="43" spans="1:55" x14ac:dyDescent="0.4">
      <c r="A43" s="7"/>
      <c r="B43" s="7"/>
      <c r="C43" s="7"/>
      <c r="D43" s="7"/>
      <c r="E43" s="7"/>
      <c r="F43" s="7"/>
      <c r="G43" s="24"/>
      <c r="H43" s="5"/>
      <c r="I43" s="24"/>
      <c r="J43" s="5"/>
      <c r="K43" s="24"/>
      <c r="L43" s="5"/>
      <c r="M43" s="27"/>
      <c r="N43" s="5"/>
      <c r="O43" s="27"/>
      <c r="P43" s="5"/>
      <c r="Q43" s="24"/>
      <c r="R43" s="5"/>
      <c r="S43" s="24"/>
      <c r="T43" s="5"/>
      <c r="U43" s="24"/>
      <c r="V43" s="5"/>
      <c r="W43" s="24"/>
      <c r="X43" s="5"/>
      <c r="Z43" s="5"/>
      <c r="AB43" s="5"/>
      <c r="AD43" s="5"/>
      <c r="AF43" s="6" t="str">
        <f t="shared" si="16"/>
        <v>N</v>
      </c>
      <c r="AG43" s="6" t="s">
        <v>2024</v>
      </c>
      <c r="AH43" t="str">
        <f t="shared" ref="AH43:AL43" si="130">IF(EXACT(AI43,I43)=TRUE,"Y","N")</f>
        <v>N</v>
      </c>
      <c r="AI43" t="s">
        <v>2025</v>
      </c>
      <c r="AJ43" t="str">
        <f t="shared" si="130"/>
        <v>N</v>
      </c>
      <c r="AK43" s="6" t="s">
        <v>2026</v>
      </c>
      <c r="AL43" s="6" t="str">
        <f t="shared" si="130"/>
        <v>N</v>
      </c>
      <c r="AM43" s="6" t="s">
        <v>2027</v>
      </c>
      <c r="AN43" s="6" t="str">
        <f t="shared" ref="AN43:AR43" si="131">IF(EXACT(AO43,O43)=TRUE,"Y","N")</f>
        <v>N</v>
      </c>
      <c r="AO43" t="s">
        <v>2028</v>
      </c>
      <c r="AP43" t="str">
        <f t="shared" si="131"/>
        <v>N</v>
      </c>
      <c r="AQ43" t="s">
        <v>2029</v>
      </c>
      <c r="AR43" t="str">
        <f t="shared" si="131"/>
        <v>N</v>
      </c>
      <c r="AS43" t="s">
        <v>2030</v>
      </c>
      <c r="AT43" t="str">
        <f t="shared" si="19"/>
        <v>N</v>
      </c>
      <c r="AU43" t="s">
        <v>2031</v>
      </c>
      <c r="AV43" t="str">
        <f t="shared" si="20"/>
        <v>N</v>
      </c>
      <c r="AW43" t="s">
        <v>2032</v>
      </c>
      <c r="AX43" t="str">
        <f t="shared" ref="AX43:BB43" si="132">IF(EXACT(AY43,Y43)=TRUE,"Y","N")</f>
        <v>N</v>
      </c>
      <c r="AY43" t="s">
        <v>2033</v>
      </c>
      <c r="AZ43" t="str">
        <f t="shared" si="132"/>
        <v>N</v>
      </c>
      <c r="BA43" t="s">
        <v>2034</v>
      </c>
      <c r="BB43" t="str">
        <f t="shared" si="132"/>
        <v>N</v>
      </c>
      <c r="BC43" t="s">
        <v>2035</v>
      </c>
    </row>
    <row r="44" spans="1:55" x14ac:dyDescent="0.4">
      <c r="A44" s="7"/>
      <c r="B44" s="7"/>
      <c r="C44" s="7"/>
      <c r="D44" s="7"/>
      <c r="E44" s="7"/>
      <c r="F44" s="7"/>
      <c r="G44" s="24"/>
      <c r="H44" s="5"/>
      <c r="I44" s="24"/>
      <c r="J44" s="5"/>
      <c r="K44" s="24"/>
      <c r="L44" s="5"/>
      <c r="M44" s="27"/>
      <c r="N44" s="5"/>
      <c r="O44" s="27"/>
      <c r="P44" s="5"/>
      <c r="Q44" s="24"/>
      <c r="R44" s="5"/>
      <c r="S44" s="24"/>
      <c r="T44" s="5"/>
      <c r="U44" s="24"/>
      <c r="V44" s="5"/>
      <c r="W44" s="24"/>
      <c r="X44" s="5"/>
      <c r="Z44" s="5"/>
      <c r="AB44" s="5"/>
      <c r="AD44" s="5"/>
      <c r="AF44" s="6" t="str">
        <f t="shared" si="16"/>
        <v>N</v>
      </c>
      <c r="AG44" s="6" t="s">
        <v>2036</v>
      </c>
      <c r="AH44" t="str">
        <f t="shared" ref="AH44:AL44" si="133">IF(EXACT(AI44,I44)=TRUE,"Y","N")</f>
        <v>N</v>
      </c>
      <c r="AI44" t="s">
        <v>2037</v>
      </c>
      <c r="AJ44" t="str">
        <f t="shared" si="133"/>
        <v>N</v>
      </c>
      <c r="AK44" s="6" t="s">
        <v>2038</v>
      </c>
      <c r="AL44" s="6" t="str">
        <f t="shared" si="133"/>
        <v>N</v>
      </c>
      <c r="AM44" s="6" t="s">
        <v>2039</v>
      </c>
      <c r="AN44" s="6" t="str">
        <f t="shared" ref="AN44:AR44" si="134">IF(EXACT(AO44,O44)=TRUE,"Y","N")</f>
        <v>N</v>
      </c>
      <c r="AO44" t="s">
        <v>2040</v>
      </c>
      <c r="AP44" t="str">
        <f t="shared" si="134"/>
        <v>N</v>
      </c>
      <c r="AQ44" t="s">
        <v>2041</v>
      </c>
      <c r="AR44" t="str">
        <f t="shared" si="134"/>
        <v>N</v>
      </c>
      <c r="AS44" t="s">
        <v>2042</v>
      </c>
      <c r="AT44" t="str">
        <f t="shared" si="19"/>
        <v>N</v>
      </c>
      <c r="AU44" t="s">
        <v>2043</v>
      </c>
      <c r="AV44" t="str">
        <f t="shared" si="20"/>
        <v>N</v>
      </c>
      <c r="AW44" t="s">
        <v>2044</v>
      </c>
      <c r="AX44" t="str">
        <f t="shared" ref="AX44:BB44" si="135">IF(EXACT(AY44,Y44)=TRUE,"Y","N")</f>
        <v>N</v>
      </c>
      <c r="AY44" t="s">
        <v>2045</v>
      </c>
      <c r="AZ44" t="str">
        <f t="shared" si="135"/>
        <v>N</v>
      </c>
      <c r="BA44" t="s">
        <v>2046</v>
      </c>
      <c r="BB44" t="str">
        <f t="shared" si="135"/>
        <v>N</v>
      </c>
      <c r="BC44" t="s">
        <v>2047</v>
      </c>
    </row>
    <row r="45" spans="1:55" x14ac:dyDescent="0.4">
      <c r="A45" s="7"/>
      <c r="B45" s="7"/>
      <c r="C45" s="7"/>
      <c r="D45" s="7"/>
      <c r="E45" s="7"/>
      <c r="F45" s="7"/>
      <c r="G45" s="24"/>
      <c r="H45" s="5"/>
      <c r="I45" s="24"/>
      <c r="J45" s="5"/>
      <c r="K45" s="24"/>
      <c r="L45" s="5"/>
      <c r="M45" s="27"/>
      <c r="N45" s="5"/>
      <c r="O45" s="27"/>
      <c r="P45" s="5"/>
      <c r="Q45" s="24"/>
      <c r="R45" s="5"/>
      <c r="S45" s="24"/>
      <c r="T45" s="5"/>
      <c r="U45" s="24"/>
      <c r="V45" s="5"/>
      <c r="W45" s="24"/>
      <c r="X45" s="5"/>
      <c r="Z45" s="5"/>
      <c r="AB45" s="5"/>
      <c r="AD45" s="5"/>
      <c r="AF45" s="6" t="str">
        <f t="shared" si="16"/>
        <v>N</v>
      </c>
      <c r="AG45" s="6" t="s">
        <v>2048</v>
      </c>
      <c r="AH45" t="str">
        <f t="shared" ref="AH45:AL45" si="136">IF(EXACT(AI45,I45)=TRUE,"Y","N")</f>
        <v>N</v>
      </c>
      <c r="AI45" t="s">
        <v>2049</v>
      </c>
      <c r="AJ45" t="str">
        <f t="shared" si="136"/>
        <v>N</v>
      </c>
      <c r="AK45" s="6" t="s">
        <v>2050</v>
      </c>
      <c r="AL45" s="6" t="str">
        <f t="shared" si="136"/>
        <v>N</v>
      </c>
      <c r="AM45" s="6" t="s">
        <v>2051</v>
      </c>
      <c r="AN45" s="6" t="str">
        <f t="shared" ref="AN45:AR45" si="137">IF(EXACT(AO45,O45)=TRUE,"Y","N")</f>
        <v>N</v>
      </c>
      <c r="AO45" t="s">
        <v>2052</v>
      </c>
      <c r="AP45" t="str">
        <f t="shared" si="137"/>
        <v>N</v>
      </c>
      <c r="AQ45" t="s">
        <v>2053</v>
      </c>
      <c r="AR45" t="str">
        <f t="shared" si="137"/>
        <v>N</v>
      </c>
      <c r="AS45" t="s">
        <v>2054</v>
      </c>
      <c r="AT45" t="str">
        <f t="shared" si="19"/>
        <v>N</v>
      </c>
      <c r="AU45" t="s">
        <v>2055</v>
      </c>
      <c r="AV45" t="str">
        <f t="shared" si="20"/>
        <v>N</v>
      </c>
      <c r="AW45" t="s">
        <v>2056</v>
      </c>
      <c r="AX45" t="str">
        <f t="shared" ref="AX45:BB45" si="138">IF(EXACT(AY45,Y45)=TRUE,"Y","N")</f>
        <v>N</v>
      </c>
      <c r="AY45" t="s">
        <v>2057</v>
      </c>
      <c r="AZ45" t="str">
        <f t="shared" si="138"/>
        <v>N</v>
      </c>
      <c r="BA45" t="s">
        <v>2058</v>
      </c>
      <c r="BB45" t="str">
        <f t="shared" si="138"/>
        <v>N</v>
      </c>
      <c r="BC45" t="s">
        <v>2059</v>
      </c>
    </row>
    <row r="46" spans="1:55" ht="14.25" x14ac:dyDescent="0.4">
      <c r="A46" s="49" t="s">
        <v>360</v>
      </c>
      <c r="B46" s="50"/>
      <c r="C46" s="50"/>
      <c r="D46" s="50"/>
      <c r="E46" s="7"/>
      <c r="F46" s="7"/>
      <c r="G46" s="24"/>
      <c r="H46" s="5"/>
      <c r="I46" s="24"/>
      <c r="J46" s="5"/>
      <c r="K46" s="24"/>
      <c r="L46" s="5"/>
      <c r="M46" s="27"/>
      <c r="N46" s="5"/>
      <c r="O46" s="27"/>
      <c r="P46" s="5"/>
      <c r="Q46" s="24"/>
      <c r="R46" s="5"/>
      <c r="S46" s="24"/>
      <c r="T46" s="5"/>
      <c r="U46" s="24"/>
      <c r="V46" s="5"/>
      <c r="W46" s="24"/>
      <c r="X46" s="5"/>
      <c r="Z46" s="5"/>
      <c r="AB46" s="5"/>
      <c r="AD46" s="5"/>
      <c r="AF46" s="6" t="str">
        <f t="shared" si="16"/>
        <v>N</v>
      </c>
      <c r="AG46" s="6" t="s">
        <v>2060</v>
      </c>
      <c r="AH46" t="str">
        <f t="shared" ref="AH46:AL46" si="139">IF(EXACT(AI46,I46)=TRUE,"Y","N")</f>
        <v>N</v>
      </c>
      <c r="AI46" t="s">
        <v>2061</v>
      </c>
      <c r="AJ46" t="str">
        <f t="shared" si="139"/>
        <v>N</v>
      </c>
      <c r="AK46" s="6" t="s">
        <v>2062</v>
      </c>
      <c r="AL46" s="6" t="str">
        <f t="shared" si="139"/>
        <v>N</v>
      </c>
      <c r="AM46" s="6" t="s">
        <v>2063</v>
      </c>
      <c r="AN46" s="6" t="str">
        <f t="shared" ref="AN46:AR46" si="140">IF(EXACT(AO46,O46)=TRUE,"Y","N")</f>
        <v>N</v>
      </c>
      <c r="AO46" t="s">
        <v>2064</v>
      </c>
      <c r="AP46" t="str">
        <f t="shared" si="140"/>
        <v>N</v>
      </c>
      <c r="AQ46" t="s">
        <v>2065</v>
      </c>
      <c r="AR46" t="str">
        <f t="shared" si="140"/>
        <v>N</v>
      </c>
      <c r="AS46" t="s">
        <v>2066</v>
      </c>
      <c r="AT46" t="str">
        <f t="shared" si="19"/>
        <v>N</v>
      </c>
      <c r="AU46" t="s">
        <v>2067</v>
      </c>
      <c r="AV46" t="str">
        <f t="shared" si="20"/>
        <v>N</v>
      </c>
      <c r="AW46" t="s">
        <v>5745</v>
      </c>
      <c r="AX46" t="str">
        <f t="shared" ref="AX46:BB46" si="141">IF(EXACT(AY46,Y46)=TRUE,"Y","N")</f>
        <v>N</v>
      </c>
      <c r="AY46" t="s">
        <v>2068</v>
      </c>
      <c r="AZ46" t="str">
        <f t="shared" si="141"/>
        <v>N</v>
      </c>
      <c r="BA46" t="s">
        <v>2069</v>
      </c>
      <c r="BB46" t="str">
        <f t="shared" si="141"/>
        <v>N</v>
      </c>
      <c r="BC46" t="s">
        <v>2070</v>
      </c>
    </row>
    <row r="47" spans="1:55" x14ac:dyDescent="0.4">
      <c r="A47" s="7"/>
      <c r="B47" s="7"/>
      <c r="C47" s="7"/>
      <c r="D47" s="7"/>
      <c r="E47" s="7"/>
      <c r="F47" s="7"/>
      <c r="G47" s="24"/>
      <c r="H47" s="5"/>
      <c r="I47" s="24"/>
      <c r="J47" s="5"/>
      <c r="K47" s="24"/>
      <c r="L47" s="5"/>
      <c r="M47" s="27"/>
      <c r="N47" s="5"/>
      <c r="O47" s="27"/>
      <c r="P47" s="5"/>
      <c r="Q47" s="24"/>
      <c r="R47" s="5"/>
      <c r="S47" s="24"/>
      <c r="T47" s="5"/>
      <c r="U47" s="24"/>
      <c r="V47" s="5"/>
      <c r="W47" s="24"/>
      <c r="X47" s="5"/>
      <c r="Z47" s="5"/>
      <c r="AB47" s="5"/>
      <c r="AD47" s="5"/>
      <c r="AF47" s="6" t="str">
        <f t="shared" si="16"/>
        <v>N</v>
      </c>
      <c r="AG47" s="6" t="s">
        <v>2071</v>
      </c>
      <c r="AH47" t="str">
        <f t="shared" ref="AH47:AL47" si="142">IF(EXACT(AI47,I47)=TRUE,"Y","N")</f>
        <v>N</v>
      </c>
      <c r="AI47" t="s">
        <v>2072</v>
      </c>
      <c r="AJ47" t="str">
        <f t="shared" si="142"/>
        <v>N</v>
      </c>
      <c r="AK47" s="6" t="s">
        <v>2073</v>
      </c>
      <c r="AL47" s="6" t="str">
        <f t="shared" si="142"/>
        <v>N</v>
      </c>
      <c r="AM47" s="6" t="s">
        <v>2074</v>
      </c>
      <c r="AN47" s="6" t="str">
        <f t="shared" ref="AN47:AR47" si="143">IF(EXACT(AO47,O47)=TRUE,"Y","N")</f>
        <v>N</v>
      </c>
      <c r="AO47" t="s">
        <v>2075</v>
      </c>
      <c r="AP47" t="str">
        <f t="shared" si="143"/>
        <v>N</v>
      </c>
      <c r="AQ47" t="s">
        <v>2076</v>
      </c>
      <c r="AR47" t="str">
        <f t="shared" si="143"/>
        <v>N</v>
      </c>
      <c r="AS47" t="s">
        <v>2077</v>
      </c>
      <c r="AT47" t="str">
        <f t="shared" si="19"/>
        <v>N</v>
      </c>
      <c r="AU47" t="s">
        <v>2078</v>
      </c>
      <c r="AV47" t="str">
        <f t="shared" si="20"/>
        <v>N</v>
      </c>
      <c r="AW47" t="s">
        <v>2079</v>
      </c>
      <c r="AX47" t="str">
        <f t="shared" ref="AX47:BB47" si="144">IF(EXACT(AY47,Y47)=TRUE,"Y","N")</f>
        <v>N</v>
      </c>
      <c r="AY47" t="s">
        <v>2080</v>
      </c>
      <c r="AZ47" t="str">
        <f t="shared" si="144"/>
        <v>N</v>
      </c>
      <c r="BA47" t="s">
        <v>2081</v>
      </c>
      <c r="BB47" t="str">
        <f t="shared" si="144"/>
        <v>N</v>
      </c>
      <c r="BC47" t="s">
        <v>2082</v>
      </c>
    </row>
    <row r="48" spans="1:55" x14ac:dyDescent="0.4">
      <c r="A48" s="7"/>
      <c r="B48" s="7"/>
      <c r="C48" s="7"/>
      <c r="D48" s="7"/>
      <c r="E48" s="7"/>
      <c r="F48" s="7"/>
      <c r="G48" s="24"/>
      <c r="H48" s="5"/>
      <c r="I48" s="24"/>
      <c r="J48" s="5"/>
      <c r="K48" s="24"/>
      <c r="L48" s="5"/>
      <c r="M48" s="27"/>
      <c r="N48" s="5"/>
      <c r="O48" s="27"/>
      <c r="P48" s="5"/>
      <c r="Q48" s="24"/>
      <c r="R48" s="5"/>
      <c r="S48" s="24"/>
      <c r="T48" s="5"/>
      <c r="U48" s="24"/>
      <c r="V48" s="5"/>
      <c r="W48" s="24"/>
      <c r="X48" s="5"/>
      <c r="Z48" s="5"/>
      <c r="AB48" s="5"/>
      <c r="AD48" s="5"/>
      <c r="AF48" s="6" t="str">
        <f t="shared" si="16"/>
        <v>N</v>
      </c>
      <c r="AG48" s="6" t="s">
        <v>2083</v>
      </c>
      <c r="AH48" t="str">
        <f t="shared" ref="AH48:AL48" si="145">IF(EXACT(AI48,I48)=TRUE,"Y","N")</f>
        <v>N</v>
      </c>
      <c r="AI48" t="s">
        <v>2084</v>
      </c>
      <c r="AJ48" t="str">
        <f t="shared" si="145"/>
        <v>N</v>
      </c>
      <c r="AK48" s="6" t="s">
        <v>2085</v>
      </c>
      <c r="AL48" s="6" t="str">
        <f t="shared" si="145"/>
        <v>N</v>
      </c>
      <c r="AM48" s="6" t="s">
        <v>2086</v>
      </c>
      <c r="AN48" s="6" t="str">
        <f t="shared" ref="AN48:AR48" si="146">IF(EXACT(AO48,O48)=TRUE,"Y","N")</f>
        <v>N</v>
      </c>
      <c r="AO48" t="s">
        <v>2087</v>
      </c>
      <c r="AP48" t="str">
        <f t="shared" si="146"/>
        <v>N</v>
      </c>
      <c r="AQ48" t="s">
        <v>2088</v>
      </c>
      <c r="AR48" t="str">
        <f t="shared" si="146"/>
        <v>N</v>
      </c>
      <c r="AS48" t="s">
        <v>2089</v>
      </c>
      <c r="AT48" t="str">
        <f t="shared" si="19"/>
        <v>N</v>
      </c>
      <c r="AU48" t="s">
        <v>2090</v>
      </c>
      <c r="AV48" t="str">
        <f t="shared" si="20"/>
        <v>N</v>
      </c>
      <c r="AW48" t="s">
        <v>2091</v>
      </c>
      <c r="AX48" t="str">
        <f t="shared" ref="AX48:BB48" si="147">IF(EXACT(AY48,Y48)=TRUE,"Y","N")</f>
        <v>N</v>
      </c>
      <c r="AY48" t="s">
        <v>2092</v>
      </c>
      <c r="AZ48" t="str">
        <f t="shared" si="147"/>
        <v>N</v>
      </c>
      <c r="BA48" t="s">
        <v>2093</v>
      </c>
      <c r="BB48" t="str">
        <f t="shared" si="147"/>
        <v>N</v>
      </c>
      <c r="BC48" t="s">
        <v>2094</v>
      </c>
    </row>
    <row r="49" spans="1:55" x14ac:dyDescent="0.4">
      <c r="A49" s="7"/>
      <c r="B49" s="7"/>
      <c r="C49" s="7"/>
      <c r="D49" s="7"/>
      <c r="E49" s="7"/>
      <c r="F49" s="7"/>
      <c r="G49" s="24"/>
      <c r="H49" s="5"/>
      <c r="I49" s="24"/>
      <c r="J49" s="5"/>
      <c r="K49" s="24"/>
      <c r="L49" s="5"/>
      <c r="M49" s="27"/>
      <c r="N49" s="5"/>
      <c r="O49" s="27"/>
      <c r="P49" s="5"/>
      <c r="Q49" s="24"/>
      <c r="R49" s="5"/>
      <c r="S49" s="24"/>
      <c r="T49" s="5"/>
      <c r="U49" s="24"/>
      <c r="V49" s="5"/>
      <c r="W49" s="24"/>
      <c r="X49" s="5"/>
      <c r="Z49" s="5"/>
      <c r="AB49" s="5"/>
      <c r="AD49" s="5"/>
      <c r="AF49" s="6" t="str">
        <f t="shared" si="16"/>
        <v>N</v>
      </c>
      <c r="AG49" s="6" t="s">
        <v>2095</v>
      </c>
      <c r="AH49" t="str">
        <f t="shared" ref="AH49:AL49" si="148">IF(EXACT(AI49,I49)=TRUE,"Y","N")</f>
        <v>N</v>
      </c>
      <c r="AI49" t="s">
        <v>2096</v>
      </c>
      <c r="AJ49" t="str">
        <f t="shared" si="148"/>
        <v>N</v>
      </c>
      <c r="AK49" s="6" t="s">
        <v>2097</v>
      </c>
      <c r="AL49" s="6" t="str">
        <f t="shared" si="148"/>
        <v>N</v>
      </c>
      <c r="AM49" s="6" t="s">
        <v>2098</v>
      </c>
      <c r="AN49" s="6" t="str">
        <f t="shared" ref="AN49:AR49" si="149">IF(EXACT(AO49,O49)=TRUE,"Y","N")</f>
        <v>N</v>
      </c>
      <c r="AO49" t="s">
        <v>2099</v>
      </c>
      <c r="AP49" t="str">
        <f t="shared" si="149"/>
        <v>N</v>
      </c>
      <c r="AQ49" t="s">
        <v>2100</v>
      </c>
      <c r="AR49" t="str">
        <f t="shared" si="149"/>
        <v>N</v>
      </c>
      <c r="AS49" t="s">
        <v>2101</v>
      </c>
      <c r="AT49" t="str">
        <f t="shared" si="19"/>
        <v>N</v>
      </c>
      <c r="AU49" t="s">
        <v>2102</v>
      </c>
      <c r="AV49" t="str">
        <f t="shared" si="20"/>
        <v>N</v>
      </c>
      <c r="AW49" t="s">
        <v>2103</v>
      </c>
      <c r="AX49" t="str">
        <f t="shared" ref="AX49:BB49" si="150">IF(EXACT(AY49,Y49)=TRUE,"Y","N")</f>
        <v>N</v>
      </c>
      <c r="AY49" t="s">
        <v>2104</v>
      </c>
      <c r="AZ49" t="str">
        <f t="shared" si="150"/>
        <v>N</v>
      </c>
      <c r="BA49" t="s">
        <v>2105</v>
      </c>
      <c r="BB49" t="str">
        <f t="shared" si="150"/>
        <v>N</v>
      </c>
      <c r="BC49" t="s">
        <v>2106</v>
      </c>
    </row>
    <row r="50" spans="1:55" x14ac:dyDescent="0.4">
      <c r="A50" s="7"/>
      <c r="B50" s="7"/>
      <c r="C50" s="7"/>
      <c r="D50" s="7"/>
      <c r="E50" s="7"/>
      <c r="F50" s="7"/>
      <c r="G50" s="24"/>
      <c r="H50" s="5"/>
      <c r="I50" s="24"/>
      <c r="J50" s="5"/>
      <c r="K50" s="24"/>
      <c r="L50" s="5"/>
      <c r="M50" s="27"/>
      <c r="N50" s="5"/>
      <c r="O50" s="27"/>
      <c r="P50" s="5"/>
      <c r="Q50" s="24"/>
      <c r="R50" s="5"/>
      <c r="S50" s="24"/>
      <c r="T50" s="5"/>
      <c r="U50" s="24"/>
      <c r="V50" s="5"/>
      <c r="W50" s="24"/>
      <c r="X50" s="5"/>
      <c r="Z50" s="5"/>
      <c r="AB50" s="5"/>
      <c r="AD50" s="5"/>
      <c r="AF50" s="6" t="str">
        <f t="shared" si="16"/>
        <v>N</v>
      </c>
      <c r="AG50" s="6" t="s">
        <v>2107</v>
      </c>
      <c r="AH50" t="str">
        <f t="shared" ref="AH50:AL50" si="151">IF(EXACT(AI50,I50)=TRUE,"Y","N")</f>
        <v>N</v>
      </c>
      <c r="AI50" t="s">
        <v>2108</v>
      </c>
      <c r="AJ50" t="str">
        <f t="shared" si="151"/>
        <v>N</v>
      </c>
      <c r="AK50" s="6" t="s">
        <v>2109</v>
      </c>
      <c r="AL50" s="6" t="str">
        <f t="shared" si="151"/>
        <v>N</v>
      </c>
      <c r="AM50" s="6" t="s">
        <v>2110</v>
      </c>
      <c r="AN50" s="6" t="str">
        <f t="shared" ref="AN50:AR50" si="152">IF(EXACT(AO50,O50)=TRUE,"Y","N")</f>
        <v>N</v>
      </c>
      <c r="AO50" t="s">
        <v>2111</v>
      </c>
      <c r="AP50" t="str">
        <f t="shared" si="152"/>
        <v>N</v>
      </c>
      <c r="AQ50" t="s">
        <v>2112</v>
      </c>
      <c r="AR50" t="str">
        <f t="shared" si="152"/>
        <v>N</v>
      </c>
      <c r="AS50" t="s">
        <v>2113</v>
      </c>
      <c r="AT50" t="str">
        <f t="shared" si="19"/>
        <v>N</v>
      </c>
      <c r="AU50" t="s">
        <v>2114</v>
      </c>
      <c r="AV50" t="str">
        <f t="shared" si="20"/>
        <v>N</v>
      </c>
      <c r="AW50" t="s">
        <v>2115</v>
      </c>
      <c r="AX50" t="str">
        <f t="shared" ref="AX50:BB50" si="153">IF(EXACT(AY50,Y50)=TRUE,"Y","N")</f>
        <v>N</v>
      </c>
      <c r="AY50" t="s">
        <v>2116</v>
      </c>
      <c r="AZ50" t="str">
        <f t="shared" si="153"/>
        <v>N</v>
      </c>
      <c r="BA50" t="s">
        <v>2117</v>
      </c>
      <c r="BB50" t="str">
        <f t="shared" si="153"/>
        <v>N</v>
      </c>
      <c r="BC50" t="s">
        <v>2118</v>
      </c>
    </row>
    <row r="51" spans="1:55" x14ac:dyDescent="0.4">
      <c r="G51" s="24"/>
      <c r="H51" s="5"/>
      <c r="I51" s="24"/>
      <c r="J51" s="5"/>
      <c r="K51" s="24"/>
      <c r="L51" s="5"/>
      <c r="M51" s="27"/>
      <c r="N51" s="5"/>
      <c r="O51" s="27"/>
      <c r="P51" s="5"/>
      <c r="Q51" s="24"/>
      <c r="R51" s="5"/>
      <c r="S51" s="24"/>
      <c r="T51" s="5"/>
      <c r="U51" s="24"/>
      <c r="V51" s="5"/>
      <c r="W51" s="24"/>
      <c r="X51" s="5"/>
      <c r="Z51" s="5"/>
      <c r="AB51" s="5"/>
      <c r="AD51" s="5"/>
      <c r="AF51" s="6" t="str">
        <f t="shared" si="16"/>
        <v>N</v>
      </c>
      <c r="AG51" s="6" t="s">
        <v>2119</v>
      </c>
      <c r="AH51" t="str">
        <f t="shared" ref="AH51:AL51" si="154">IF(EXACT(AI51,I51)=TRUE,"Y","N")</f>
        <v>N</v>
      </c>
      <c r="AI51" t="s">
        <v>2120</v>
      </c>
      <c r="AJ51" t="str">
        <f t="shared" si="154"/>
        <v>N</v>
      </c>
      <c r="AK51" s="6" t="s">
        <v>2121</v>
      </c>
      <c r="AL51" s="6" t="str">
        <f t="shared" si="154"/>
        <v>N</v>
      </c>
      <c r="AM51" s="6" t="s">
        <v>2122</v>
      </c>
      <c r="AN51" s="6" t="str">
        <f t="shared" ref="AN51:AR51" si="155">IF(EXACT(AO51,O51)=TRUE,"Y","N")</f>
        <v>N</v>
      </c>
      <c r="AO51" t="s">
        <v>2123</v>
      </c>
      <c r="AP51" t="str">
        <f t="shared" si="155"/>
        <v>N</v>
      </c>
      <c r="AQ51" t="s">
        <v>2124</v>
      </c>
      <c r="AR51" t="str">
        <f t="shared" si="155"/>
        <v>N</v>
      </c>
      <c r="AS51" t="s">
        <v>2125</v>
      </c>
      <c r="AT51" t="str">
        <f t="shared" si="19"/>
        <v>N</v>
      </c>
      <c r="AU51" t="s">
        <v>2126</v>
      </c>
      <c r="AV51" t="str">
        <f t="shared" si="20"/>
        <v>N</v>
      </c>
      <c r="AW51" t="s">
        <v>2127</v>
      </c>
      <c r="AX51" t="str">
        <f t="shared" ref="AX51:BB51" si="156">IF(EXACT(AY51,Y51)=TRUE,"Y","N")</f>
        <v>N</v>
      </c>
      <c r="AY51" t="s">
        <v>2128</v>
      </c>
      <c r="AZ51" t="str">
        <f t="shared" si="156"/>
        <v>N</v>
      </c>
      <c r="BA51" t="s">
        <v>2129</v>
      </c>
      <c r="BB51" t="str">
        <f t="shared" si="156"/>
        <v>N</v>
      </c>
      <c r="BC51" t="s">
        <v>2130</v>
      </c>
    </row>
    <row r="52" spans="1:55" x14ac:dyDescent="0.4">
      <c r="G52" s="24"/>
      <c r="H52" s="5"/>
      <c r="I52" s="24"/>
      <c r="J52" s="5"/>
      <c r="K52" s="24"/>
      <c r="L52" s="5"/>
      <c r="M52" s="27"/>
      <c r="N52" s="5"/>
      <c r="O52" s="27"/>
      <c r="P52" s="5"/>
      <c r="Q52" s="24"/>
      <c r="R52" s="5"/>
      <c r="S52" s="24"/>
      <c r="T52" s="5"/>
      <c r="U52" s="24"/>
      <c r="V52" s="5"/>
      <c r="W52" s="24"/>
      <c r="X52" s="5"/>
      <c r="Z52" s="5"/>
      <c r="AB52" s="5"/>
      <c r="AD52" s="5"/>
      <c r="AF52" s="6" t="str">
        <f t="shared" si="16"/>
        <v>N</v>
      </c>
      <c r="AG52" s="6" t="s">
        <v>2131</v>
      </c>
      <c r="AH52" t="str">
        <f t="shared" ref="AH52:AL52" si="157">IF(EXACT(AI52,I52)=TRUE,"Y","N")</f>
        <v>N</v>
      </c>
      <c r="AI52" t="s">
        <v>2132</v>
      </c>
      <c r="AJ52" t="str">
        <f t="shared" si="157"/>
        <v>N</v>
      </c>
      <c r="AK52" s="6" t="s">
        <v>2133</v>
      </c>
      <c r="AL52" s="6" t="str">
        <f t="shared" si="157"/>
        <v>N</v>
      </c>
      <c r="AM52" s="6" t="s">
        <v>2134</v>
      </c>
      <c r="AN52" s="6" t="str">
        <f t="shared" ref="AN52:AR52" si="158">IF(EXACT(AO52,O52)=TRUE,"Y","N")</f>
        <v>N</v>
      </c>
      <c r="AO52" t="s">
        <v>2135</v>
      </c>
      <c r="AP52" t="str">
        <f t="shared" si="158"/>
        <v>N</v>
      </c>
      <c r="AQ52" t="s">
        <v>2136</v>
      </c>
      <c r="AR52" t="str">
        <f t="shared" si="158"/>
        <v>N</v>
      </c>
      <c r="AS52" t="s">
        <v>2137</v>
      </c>
      <c r="AT52" t="str">
        <f t="shared" si="19"/>
        <v>N</v>
      </c>
      <c r="AU52" t="s">
        <v>2138</v>
      </c>
      <c r="AV52" t="str">
        <f t="shared" si="20"/>
        <v>N</v>
      </c>
      <c r="AW52" t="s">
        <v>2139</v>
      </c>
      <c r="AX52" t="str">
        <f t="shared" ref="AX52:BB52" si="159">IF(EXACT(AY52,Y52)=TRUE,"Y","N")</f>
        <v>N</v>
      </c>
      <c r="AY52" t="s">
        <v>2140</v>
      </c>
      <c r="AZ52" t="str">
        <f t="shared" si="159"/>
        <v>N</v>
      </c>
      <c r="BA52" t="s">
        <v>2141</v>
      </c>
      <c r="BB52" t="str">
        <f t="shared" si="159"/>
        <v>N</v>
      </c>
      <c r="BC52" t="s">
        <v>2142</v>
      </c>
    </row>
    <row r="53" spans="1:55" x14ac:dyDescent="0.4">
      <c r="G53" s="24"/>
      <c r="H53" s="5"/>
      <c r="I53" s="24"/>
      <c r="J53" s="5"/>
      <c r="K53" s="24"/>
      <c r="L53" s="5"/>
      <c r="M53" s="27"/>
      <c r="N53" s="5"/>
      <c r="O53" s="27"/>
      <c r="P53" s="5"/>
      <c r="Q53" s="24"/>
      <c r="R53" s="5"/>
      <c r="S53" s="24"/>
      <c r="T53" s="5"/>
      <c r="U53" s="24"/>
      <c r="V53" s="5"/>
      <c r="W53" s="24"/>
      <c r="X53" s="5"/>
      <c r="Z53" s="5"/>
      <c r="AB53" s="5"/>
      <c r="AD53" s="5"/>
      <c r="AF53" s="6" t="str">
        <f t="shared" si="16"/>
        <v>N</v>
      </c>
      <c r="AG53" s="6" t="s">
        <v>2143</v>
      </c>
      <c r="AH53" t="str">
        <f t="shared" ref="AH53:AL53" si="160">IF(EXACT(AI53,I53)=TRUE,"Y","N")</f>
        <v>N</v>
      </c>
      <c r="AI53" t="s">
        <v>2144</v>
      </c>
      <c r="AJ53" t="str">
        <f t="shared" si="160"/>
        <v>N</v>
      </c>
      <c r="AK53" s="6" t="s">
        <v>2145</v>
      </c>
      <c r="AL53" s="6" t="str">
        <f t="shared" si="160"/>
        <v>N</v>
      </c>
      <c r="AM53" s="6" t="s">
        <v>2146</v>
      </c>
      <c r="AN53" s="6" t="str">
        <f t="shared" ref="AN53:AR53" si="161">IF(EXACT(AO53,O53)=TRUE,"Y","N")</f>
        <v>N</v>
      </c>
      <c r="AO53" t="s">
        <v>2147</v>
      </c>
      <c r="AP53" t="str">
        <f t="shared" si="161"/>
        <v>N</v>
      </c>
      <c r="AQ53" t="s">
        <v>2148</v>
      </c>
      <c r="AR53" t="str">
        <f t="shared" si="161"/>
        <v>N</v>
      </c>
      <c r="AS53" t="s">
        <v>2149</v>
      </c>
      <c r="AT53" t="str">
        <f t="shared" si="19"/>
        <v>N</v>
      </c>
      <c r="AU53" t="s">
        <v>2150</v>
      </c>
      <c r="AV53" t="str">
        <f t="shared" si="20"/>
        <v>N</v>
      </c>
      <c r="AW53" t="s">
        <v>2151</v>
      </c>
      <c r="AX53" t="str">
        <f t="shared" ref="AX53:BB53" si="162">IF(EXACT(AY53,Y53)=TRUE,"Y","N")</f>
        <v>N</v>
      </c>
      <c r="AY53" t="s">
        <v>2152</v>
      </c>
      <c r="AZ53" t="str">
        <f t="shared" si="162"/>
        <v>N</v>
      </c>
      <c r="BA53" t="s">
        <v>2153</v>
      </c>
      <c r="BB53" t="str">
        <f t="shared" si="162"/>
        <v>N</v>
      </c>
      <c r="BC53" t="s">
        <v>2154</v>
      </c>
    </row>
    <row r="54" spans="1:55" x14ac:dyDescent="0.4">
      <c r="G54" s="24"/>
      <c r="H54" s="5"/>
      <c r="I54" s="24"/>
      <c r="J54" s="5"/>
      <c r="K54" s="24"/>
      <c r="L54" s="5"/>
      <c r="M54" s="27"/>
      <c r="N54" s="5"/>
      <c r="O54" s="27"/>
      <c r="P54" s="5"/>
      <c r="Q54" s="24"/>
      <c r="R54" s="5"/>
      <c r="S54" s="24"/>
      <c r="T54" s="5"/>
      <c r="U54" s="24"/>
      <c r="V54" s="5"/>
      <c r="W54" s="24"/>
      <c r="X54" s="5"/>
      <c r="Z54" s="5"/>
      <c r="AB54" s="5"/>
      <c r="AD54" s="5"/>
      <c r="AF54" s="6" t="str">
        <f t="shared" si="16"/>
        <v>N</v>
      </c>
      <c r="AG54" s="6" t="s">
        <v>2155</v>
      </c>
      <c r="AH54" t="str">
        <f t="shared" ref="AH54:AL54" si="163">IF(EXACT(AI54,I54)=TRUE,"Y","N")</f>
        <v>N</v>
      </c>
      <c r="AI54" t="s">
        <v>2156</v>
      </c>
      <c r="AJ54" t="str">
        <f t="shared" si="163"/>
        <v>N</v>
      </c>
      <c r="AK54" s="6" t="s">
        <v>2157</v>
      </c>
      <c r="AL54" s="6" t="str">
        <f t="shared" si="163"/>
        <v>N</v>
      </c>
      <c r="AM54" s="6" t="s">
        <v>2158</v>
      </c>
      <c r="AN54" s="6" t="str">
        <f t="shared" ref="AN54:AR54" si="164">IF(EXACT(AO54,O54)=TRUE,"Y","N")</f>
        <v>N</v>
      </c>
      <c r="AO54" t="s">
        <v>2159</v>
      </c>
      <c r="AP54" t="str">
        <f t="shared" si="164"/>
        <v>N</v>
      </c>
      <c r="AQ54" t="s">
        <v>2160</v>
      </c>
      <c r="AR54" t="str">
        <f t="shared" si="164"/>
        <v>N</v>
      </c>
      <c r="AS54" t="s">
        <v>2161</v>
      </c>
      <c r="AT54" t="str">
        <f t="shared" si="19"/>
        <v>N</v>
      </c>
      <c r="AU54" t="s">
        <v>2162</v>
      </c>
      <c r="AV54" t="str">
        <f t="shared" si="20"/>
        <v>N</v>
      </c>
      <c r="AW54" t="s">
        <v>2163</v>
      </c>
      <c r="AX54" t="str">
        <f t="shared" ref="AX54:BB54" si="165">IF(EXACT(AY54,Y54)=TRUE,"Y","N")</f>
        <v>N</v>
      </c>
      <c r="AY54" t="s">
        <v>2164</v>
      </c>
      <c r="AZ54" t="str">
        <f t="shared" si="165"/>
        <v>N</v>
      </c>
      <c r="BA54" t="s">
        <v>2165</v>
      </c>
      <c r="BB54" t="str">
        <f t="shared" si="165"/>
        <v>N</v>
      </c>
      <c r="BC54" t="s">
        <v>2166</v>
      </c>
    </row>
    <row r="55" spans="1:55" x14ac:dyDescent="0.4">
      <c r="G55" s="24"/>
      <c r="H55" s="5"/>
      <c r="I55" s="24"/>
      <c r="J55" s="5"/>
      <c r="K55" s="24"/>
      <c r="L55" s="5"/>
      <c r="M55" s="27"/>
      <c r="N55" s="5"/>
      <c r="O55" s="27"/>
      <c r="P55" s="5"/>
      <c r="Q55" s="24"/>
      <c r="R55" s="5"/>
      <c r="S55" s="24"/>
      <c r="T55" s="5"/>
      <c r="U55" s="24"/>
      <c r="V55" s="5"/>
      <c r="W55" s="24"/>
      <c r="X55" s="5"/>
      <c r="Z55" s="5"/>
      <c r="AB55" s="5"/>
      <c r="AD55" s="5"/>
      <c r="AF55" s="6" t="str">
        <f t="shared" si="16"/>
        <v>N</v>
      </c>
      <c r="AG55" s="6" t="s">
        <v>2167</v>
      </c>
      <c r="AH55" t="str">
        <f t="shared" ref="AH55:AL55" si="166">IF(EXACT(AI55,I55)=TRUE,"Y","N")</f>
        <v>N</v>
      </c>
      <c r="AI55" t="s">
        <v>2168</v>
      </c>
      <c r="AJ55" t="str">
        <f t="shared" si="166"/>
        <v>N</v>
      </c>
      <c r="AK55" s="6" t="s">
        <v>2169</v>
      </c>
      <c r="AL55" s="6" t="str">
        <f t="shared" si="166"/>
        <v>N</v>
      </c>
      <c r="AM55" s="6" t="s">
        <v>2170</v>
      </c>
      <c r="AN55" s="6" t="str">
        <f t="shared" ref="AN55:AR55" si="167">IF(EXACT(AO55,O55)=TRUE,"Y","N")</f>
        <v>N</v>
      </c>
      <c r="AO55" t="s">
        <v>2171</v>
      </c>
      <c r="AP55" t="str">
        <f t="shared" si="167"/>
        <v>N</v>
      </c>
      <c r="AQ55" t="s">
        <v>2172</v>
      </c>
      <c r="AR55" t="str">
        <f t="shared" si="167"/>
        <v>N</v>
      </c>
      <c r="AS55" t="s">
        <v>2173</v>
      </c>
      <c r="AT55" t="str">
        <f t="shared" si="19"/>
        <v>N</v>
      </c>
      <c r="AU55" t="s">
        <v>2174</v>
      </c>
      <c r="AV55" t="str">
        <f t="shared" si="20"/>
        <v>N</v>
      </c>
      <c r="AW55" t="s">
        <v>2175</v>
      </c>
      <c r="AX55" t="str">
        <f t="shared" ref="AX55:BB55" si="168">IF(EXACT(AY55,Y55)=TRUE,"Y","N")</f>
        <v>N</v>
      </c>
      <c r="AY55" t="s">
        <v>2176</v>
      </c>
      <c r="AZ55" t="str">
        <f t="shared" si="168"/>
        <v>N</v>
      </c>
      <c r="BA55" t="s">
        <v>2177</v>
      </c>
      <c r="BB55" t="str">
        <f t="shared" si="168"/>
        <v>N</v>
      </c>
      <c r="BC55" t="s">
        <v>1256</v>
      </c>
    </row>
    <row r="56" spans="1:55" x14ac:dyDescent="0.4">
      <c r="G56" s="24"/>
      <c r="H56" s="5"/>
      <c r="I56" s="24"/>
      <c r="J56" s="5"/>
      <c r="K56" s="24"/>
      <c r="L56" s="5"/>
      <c r="M56" s="27"/>
      <c r="N56" s="5"/>
      <c r="O56" s="27"/>
      <c r="P56" s="5"/>
      <c r="Q56" s="24"/>
      <c r="R56" s="5"/>
      <c r="S56" s="24"/>
      <c r="T56" s="5"/>
      <c r="U56" s="24"/>
      <c r="V56" s="5"/>
      <c r="W56" s="24"/>
      <c r="X56" s="5"/>
      <c r="Z56" s="5"/>
      <c r="AB56" s="5"/>
      <c r="AD56" s="5"/>
      <c r="AF56" s="6" t="str">
        <f t="shared" si="16"/>
        <v>N</v>
      </c>
      <c r="AG56" s="6" t="s">
        <v>2178</v>
      </c>
      <c r="AH56" t="str">
        <f t="shared" ref="AH56:AL56" si="169">IF(EXACT(AI56,I56)=TRUE,"Y","N")</f>
        <v>N</v>
      </c>
      <c r="AI56" t="s">
        <v>2179</v>
      </c>
      <c r="AJ56" t="str">
        <f t="shared" si="169"/>
        <v>N</v>
      </c>
      <c r="AK56" s="6" t="s">
        <v>2180</v>
      </c>
      <c r="AL56" s="6" t="str">
        <f t="shared" si="169"/>
        <v>N</v>
      </c>
      <c r="AM56" s="6" t="s">
        <v>2181</v>
      </c>
      <c r="AN56" s="6" t="str">
        <f t="shared" ref="AN56:AR56" si="170">IF(EXACT(AO56,O56)=TRUE,"Y","N")</f>
        <v>N</v>
      </c>
      <c r="AO56" t="s">
        <v>2182</v>
      </c>
      <c r="AP56" t="str">
        <f t="shared" si="170"/>
        <v>N</v>
      </c>
      <c r="AQ56" t="s">
        <v>2183</v>
      </c>
      <c r="AR56" t="str">
        <f t="shared" si="170"/>
        <v>N</v>
      </c>
      <c r="AS56" t="s">
        <v>2184</v>
      </c>
      <c r="AT56" t="str">
        <f t="shared" si="19"/>
        <v>N</v>
      </c>
      <c r="AU56" t="s">
        <v>2185</v>
      </c>
      <c r="AV56" t="str">
        <f t="shared" si="20"/>
        <v>N</v>
      </c>
      <c r="AW56" t="s">
        <v>2186</v>
      </c>
      <c r="AX56" t="str">
        <f t="shared" ref="AX56:BB56" si="171">IF(EXACT(AY56,Y56)=TRUE,"Y","N")</f>
        <v>N</v>
      </c>
      <c r="AY56" t="s">
        <v>2187</v>
      </c>
      <c r="AZ56" t="str">
        <f t="shared" si="171"/>
        <v>N</v>
      </c>
      <c r="BA56" t="s">
        <v>2188</v>
      </c>
      <c r="BB56" t="str">
        <f t="shared" si="171"/>
        <v>N</v>
      </c>
      <c r="BC56" t="s">
        <v>2189</v>
      </c>
    </row>
    <row r="57" spans="1:55" x14ac:dyDescent="0.4">
      <c r="G57" s="24"/>
      <c r="H57" s="5"/>
      <c r="I57" s="24"/>
      <c r="J57" s="5"/>
      <c r="K57" s="24"/>
      <c r="L57" s="5"/>
      <c r="M57" s="27"/>
      <c r="N57" s="5"/>
      <c r="O57" s="27"/>
      <c r="P57" s="5"/>
      <c r="Q57" s="24"/>
      <c r="R57" s="5"/>
      <c r="S57" s="24"/>
      <c r="T57" s="5"/>
      <c r="U57" s="24"/>
      <c r="V57" s="5"/>
      <c r="W57" s="24"/>
      <c r="X57" s="5"/>
      <c r="Z57" s="5"/>
      <c r="AB57" s="5"/>
      <c r="AD57" s="5"/>
      <c r="AF57" s="6" t="str">
        <f t="shared" si="16"/>
        <v>N</v>
      </c>
      <c r="AG57" s="6" t="s">
        <v>2190</v>
      </c>
      <c r="AH57" t="str">
        <f t="shared" ref="AH57:AL57" si="172">IF(EXACT(AI57,I57)=TRUE,"Y","N")</f>
        <v>N</v>
      </c>
      <c r="AI57" t="s">
        <v>2191</v>
      </c>
      <c r="AJ57" t="str">
        <f t="shared" si="172"/>
        <v>N</v>
      </c>
      <c r="AK57" s="6" t="s">
        <v>2192</v>
      </c>
      <c r="AL57" s="6" t="str">
        <f t="shared" si="172"/>
        <v>N</v>
      </c>
      <c r="AM57" s="6" t="s">
        <v>2193</v>
      </c>
      <c r="AN57" s="6" t="str">
        <f t="shared" ref="AN57:AR57" si="173">IF(EXACT(AO57,O57)=TRUE,"Y","N")</f>
        <v>N</v>
      </c>
      <c r="AO57" t="s">
        <v>2194</v>
      </c>
      <c r="AP57" t="str">
        <f t="shared" si="173"/>
        <v>N</v>
      </c>
      <c r="AQ57" t="s">
        <v>2195</v>
      </c>
      <c r="AR57" t="str">
        <f t="shared" si="173"/>
        <v>N</v>
      </c>
      <c r="AS57" t="s">
        <v>2196</v>
      </c>
      <c r="AT57" t="str">
        <f t="shared" si="19"/>
        <v>N</v>
      </c>
      <c r="AU57" t="s">
        <v>2197</v>
      </c>
      <c r="AV57" t="str">
        <f t="shared" si="20"/>
        <v>N</v>
      </c>
      <c r="AW57" t="s">
        <v>2198</v>
      </c>
      <c r="AX57" t="str">
        <f t="shared" ref="AX57:BB57" si="174">IF(EXACT(AY57,Y57)=TRUE,"Y","N")</f>
        <v>N</v>
      </c>
      <c r="AY57" t="s">
        <v>2199</v>
      </c>
      <c r="AZ57" t="str">
        <f t="shared" si="174"/>
        <v>N</v>
      </c>
      <c r="BA57" t="s">
        <v>2200</v>
      </c>
      <c r="BB57" t="str">
        <f t="shared" si="174"/>
        <v>N</v>
      </c>
      <c r="BC57" t="s">
        <v>2201</v>
      </c>
    </row>
    <row r="58" spans="1:55" x14ac:dyDescent="0.4">
      <c r="G58" s="24"/>
      <c r="H58" s="5"/>
      <c r="I58" s="24"/>
      <c r="J58" s="5"/>
      <c r="K58" s="24"/>
      <c r="L58" s="5"/>
      <c r="M58" s="27"/>
      <c r="N58" s="5"/>
      <c r="O58" s="27"/>
      <c r="P58" s="5"/>
      <c r="Q58" s="24"/>
      <c r="R58" s="5"/>
      <c r="S58" s="24"/>
      <c r="T58" s="5"/>
      <c r="U58" s="24"/>
      <c r="V58" s="5"/>
      <c r="W58" s="24"/>
      <c r="X58" s="5"/>
      <c r="Z58" s="5"/>
      <c r="AB58" s="5"/>
      <c r="AD58" s="5"/>
      <c r="AF58" s="6" t="str">
        <f t="shared" si="16"/>
        <v>N</v>
      </c>
      <c r="AG58" s="6" t="s">
        <v>2202</v>
      </c>
      <c r="AH58" t="str">
        <f t="shared" ref="AH58:AL58" si="175">IF(EXACT(AI58,I58)=TRUE,"Y","N")</f>
        <v>N</v>
      </c>
      <c r="AI58" t="s">
        <v>2203</v>
      </c>
      <c r="AJ58" t="str">
        <f t="shared" si="175"/>
        <v>N</v>
      </c>
      <c r="AK58" s="6" t="s">
        <v>2204</v>
      </c>
      <c r="AL58" s="6" t="str">
        <f t="shared" si="175"/>
        <v>N</v>
      </c>
      <c r="AM58" s="6" t="s">
        <v>2205</v>
      </c>
      <c r="AN58" s="6" t="str">
        <f t="shared" ref="AN58:AR58" si="176">IF(EXACT(AO58,O58)=TRUE,"Y","N")</f>
        <v>N</v>
      </c>
      <c r="AO58" t="s">
        <v>2206</v>
      </c>
      <c r="AP58" t="str">
        <f t="shared" si="176"/>
        <v>N</v>
      </c>
      <c r="AQ58" t="s">
        <v>2207</v>
      </c>
      <c r="AR58" t="str">
        <f t="shared" si="176"/>
        <v>N</v>
      </c>
      <c r="AS58" t="s">
        <v>2208</v>
      </c>
      <c r="AT58" t="str">
        <f t="shared" si="19"/>
        <v>N</v>
      </c>
      <c r="AU58" t="s">
        <v>2209</v>
      </c>
      <c r="AV58" t="str">
        <f t="shared" si="20"/>
        <v>N</v>
      </c>
      <c r="AW58" t="s">
        <v>2210</v>
      </c>
      <c r="AX58" t="str">
        <f t="shared" ref="AX58:BB58" si="177">IF(EXACT(AY58,Y58)=TRUE,"Y","N")</f>
        <v>N</v>
      </c>
      <c r="AY58" t="s">
        <v>2211</v>
      </c>
      <c r="AZ58" t="str">
        <f t="shared" si="177"/>
        <v>N</v>
      </c>
      <c r="BA58" t="s">
        <v>2212</v>
      </c>
      <c r="BB58" t="str">
        <f t="shared" si="177"/>
        <v>N</v>
      </c>
      <c r="BC58" t="s">
        <v>2213</v>
      </c>
    </row>
    <row r="59" spans="1:55" x14ac:dyDescent="0.4">
      <c r="G59" s="24"/>
      <c r="H59" s="5"/>
      <c r="I59" s="24"/>
      <c r="J59" s="5"/>
      <c r="K59" s="24"/>
      <c r="L59" s="5"/>
      <c r="M59" s="27"/>
      <c r="N59" s="5"/>
      <c r="O59" s="27"/>
      <c r="P59" s="5"/>
      <c r="Q59" s="24"/>
      <c r="R59" s="5"/>
      <c r="S59" s="24"/>
      <c r="T59" s="5"/>
      <c r="U59" s="24"/>
      <c r="V59" s="5"/>
      <c r="W59" s="24"/>
      <c r="X59" s="5"/>
      <c r="Z59" s="5"/>
      <c r="AB59" s="5"/>
      <c r="AD59" s="5"/>
      <c r="AF59" s="6" t="str">
        <f t="shared" si="16"/>
        <v>N</v>
      </c>
      <c r="AG59" s="6" t="s">
        <v>2214</v>
      </c>
      <c r="AH59" t="str">
        <f t="shared" ref="AH59:AL59" si="178">IF(EXACT(AI59,I59)=TRUE,"Y","N")</f>
        <v>N</v>
      </c>
      <c r="AI59" t="s">
        <v>2215</v>
      </c>
      <c r="AJ59" t="str">
        <f t="shared" si="178"/>
        <v>N</v>
      </c>
      <c r="AK59" s="6" t="s">
        <v>2216</v>
      </c>
      <c r="AL59" s="6" t="str">
        <f t="shared" si="178"/>
        <v>N</v>
      </c>
      <c r="AM59" s="6" t="s">
        <v>2217</v>
      </c>
      <c r="AN59" s="6" t="str">
        <f t="shared" ref="AN59:AR59" si="179">IF(EXACT(AO59,O59)=TRUE,"Y","N")</f>
        <v>N</v>
      </c>
      <c r="AO59" t="s">
        <v>2218</v>
      </c>
      <c r="AP59" t="str">
        <f t="shared" si="179"/>
        <v>N</v>
      </c>
      <c r="AQ59" t="s">
        <v>2219</v>
      </c>
      <c r="AR59" t="str">
        <f t="shared" si="179"/>
        <v>N</v>
      </c>
      <c r="AS59" t="s">
        <v>2220</v>
      </c>
      <c r="AT59" t="str">
        <f t="shared" si="19"/>
        <v>N</v>
      </c>
      <c r="AU59" t="s">
        <v>2221</v>
      </c>
      <c r="AV59" t="str">
        <f t="shared" si="20"/>
        <v>N</v>
      </c>
      <c r="AW59" t="s">
        <v>2222</v>
      </c>
      <c r="AX59" t="str">
        <f t="shared" ref="AX59:BB59" si="180">IF(EXACT(AY59,Y59)=TRUE,"Y","N")</f>
        <v>N</v>
      </c>
      <c r="AY59" t="s">
        <v>2223</v>
      </c>
      <c r="AZ59" t="str">
        <f t="shared" si="180"/>
        <v>N</v>
      </c>
      <c r="BA59" t="s">
        <v>2224</v>
      </c>
      <c r="BB59" t="str">
        <f t="shared" si="180"/>
        <v>N</v>
      </c>
      <c r="BC59" t="s">
        <v>2225</v>
      </c>
    </row>
    <row r="60" spans="1:55" x14ac:dyDescent="0.4">
      <c r="G60" s="24"/>
      <c r="H60" s="5"/>
      <c r="I60" s="24"/>
      <c r="J60" s="5"/>
      <c r="K60" s="24"/>
      <c r="L60" s="5"/>
      <c r="M60" s="27"/>
      <c r="N60" s="5"/>
      <c r="O60" s="27"/>
      <c r="P60" s="5"/>
      <c r="Q60" s="24"/>
      <c r="R60" s="5"/>
      <c r="S60" s="24"/>
      <c r="T60" s="5"/>
      <c r="U60" s="24"/>
      <c r="V60" s="5"/>
      <c r="W60" s="24"/>
      <c r="X60" s="5"/>
      <c r="Z60" s="5"/>
      <c r="AB60" s="5"/>
      <c r="AD60" s="5"/>
      <c r="AF60" s="6" t="str">
        <f t="shared" si="16"/>
        <v>N</v>
      </c>
      <c r="AG60" s="6" t="s">
        <v>2226</v>
      </c>
      <c r="AH60" t="str">
        <f t="shared" ref="AH60:AL60" si="181">IF(EXACT(AI60,I60)=TRUE,"Y","N")</f>
        <v>N</v>
      </c>
      <c r="AI60" t="s">
        <v>2227</v>
      </c>
      <c r="AJ60" t="str">
        <f t="shared" si="181"/>
        <v>N</v>
      </c>
      <c r="AK60" s="6" t="s">
        <v>2228</v>
      </c>
      <c r="AL60" s="6" t="str">
        <f t="shared" si="181"/>
        <v>N</v>
      </c>
      <c r="AM60" s="6" t="s">
        <v>2229</v>
      </c>
      <c r="AN60" s="6" t="str">
        <f t="shared" ref="AN60:AR60" si="182">IF(EXACT(AO60,O60)=TRUE,"Y","N")</f>
        <v>N</v>
      </c>
      <c r="AO60" t="s">
        <v>2230</v>
      </c>
      <c r="AP60" t="str">
        <f t="shared" si="182"/>
        <v>N</v>
      </c>
      <c r="AQ60" t="s">
        <v>2231</v>
      </c>
      <c r="AR60" t="str">
        <f t="shared" si="182"/>
        <v>N</v>
      </c>
      <c r="AS60" t="s">
        <v>2232</v>
      </c>
      <c r="AT60" t="str">
        <f t="shared" si="19"/>
        <v>N</v>
      </c>
      <c r="AU60" t="s">
        <v>2233</v>
      </c>
      <c r="AV60" t="str">
        <f t="shared" si="20"/>
        <v>N</v>
      </c>
      <c r="AW60" t="s">
        <v>2234</v>
      </c>
      <c r="AX60" t="str">
        <f t="shared" ref="AX60:BB60" si="183">IF(EXACT(AY60,Y60)=TRUE,"Y","N")</f>
        <v>N</v>
      </c>
      <c r="AY60" t="s">
        <v>2235</v>
      </c>
      <c r="AZ60" t="str">
        <f t="shared" si="183"/>
        <v>N</v>
      </c>
      <c r="BA60" t="s">
        <v>2236</v>
      </c>
      <c r="BB60" t="str">
        <f t="shared" si="183"/>
        <v>N</v>
      </c>
      <c r="BC60" t="s">
        <v>2237</v>
      </c>
    </row>
    <row r="61" spans="1:55" x14ac:dyDescent="0.4">
      <c r="G61" s="24"/>
      <c r="H61" s="5"/>
      <c r="I61" s="24"/>
      <c r="J61" s="5"/>
      <c r="K61" s="24"/>
      <c r="L61" s="5"/>
      <c r="M61" s="27"/>
      <c r="N61" s="5"/>
      <c r="O61" s="27"/>
      <c r="P61" s="5"/>
      <c r="Q61" s="24"/>
      <c r="R61" s="5"/>
      <c r="S61" s="24"/>
      <c r="T61" s="5"/>
      <c r="U61" s="24"/>
      <c r="V61" s="5"/>
      <c r="W61" s="24"/>
      <c r="X61" s="5"/>
      <c r="Z61" s="5"/>
      <c r="AB61" s="5"/>
      <c r="AD61" s="5"/>
      <c r="AF61" s="6" t="str">
        <f t="shared" si="16"/>
        <v>N</v>
      </c>
      <c r="AG61" s="6" t="s">
        <v>2238</v>
      </c>
      <c r="AH61" t="str">
        <f t="shared" ref="AH61:AL61" si="184">IF(EXACT(AI61,I61)=TRUE,"Y","N")</f>
        <v>N</v>
      </c>
      <c r="AI61" t="s">
        <v>2239</v>
      </c>
      <c r="AJ61" t="str">
        <f t="shared" si="184"/>
        <v>N</v>
      </c>
      <c r="AK61" s="6" t="s">
        <v>2240</v>
      </c>
      <c r="AL61" s="6" t="str">
        <f t="shared" si="184"/>
        <v>N</v>
      </c>
      <c r="AM61" s="6" t="s">
        <v>2241</v>
      </c>
      <c r="AN61" s="6" t="str">
        <f t="shared" ref="AN61:AR61" si="185">IF(EXACT(AO61,O61)=TRUE,"Y","N")</f>
        <v>N</v>
      </c>
      <c r="AO61" t="s">
        <v>2242</v>
      </c>
      <c r="AP61" t="str">
        <f t="shared" si="185"/>
        <v>N</v>
      </c>
      <c r="AQ61" t="s">
        <v>2243</v>
      </c>
      <c r="AR61" t="str">
        <f t="shared" si="185"/>
        <v>N</v>
      </c>
      <c r="AS61" t="s">
        <v>2244</v>
      </c>
      <c r="AT61" t="str">
        <f t="shared" si="19"/>
        <v>N</v>
      </c>
      <c r="AU61" t="s">
        <v>2245</v>
      </c>
      <c r="AV61" t="str">
        <f t="shared" si="20"/>
        <v>N</v>
      </c>
      <c r="AW61" t="s">
        <v>2246</v>
      </c>
      <c r="AX61" t="str">
        <f t="shared" ref="AX61:BB61" si="186">IF(EXACT(AY61,Y61)=TRUE,"Y","N")</f>
        <v>N</v>
      </c>
      <c r="AY61" t="s">
        <v>2247</v>
      </c>
      <c r="AZ61" t="str">
        <f t="shared" si="186"/>
        <v>N</v>
      </c>
      <c r="BA61" t="s">
        <v>2248</v>
      </c>
      <c r="BB61" t="str">
        <f t="shared" si="186"/>
        <v>N</v>
      </c>
      <c r="BC61" t="s">
        <v>2249</v>
      </c>
    </row>
    <row r="62" spans="1:55" x14ac:dyDescent="0.4">
      <c r="G62" s="24"/>
      <c r="H62" s="5"/>
      <c r="I62" s="24"/>
      <c r="J62" s="5"/>
      <c r="K62" s="24"/>
      <c r="L62" s="5"/>
      <c r="M62" s="27"/>
      <c r="N62" s="5"/>
      <c r="O62" s="27"/>
      <c r="P62" s="5"/>
      <c r="Q62" s="24"/>
      <c r="R62" s="5"/>
      <c r="S62" s="24"/>
      <c r="T62" s="5"/>
      <c r="U62" s="24"/>
      <c r="V62" s="5"/>
      <c r="W62" s="24"/>
      <c r="X62" s="5"/>
      <c r="Z62" s="5"/>
      <c r="AB62" s="5"/>
      <c r="AD62" s="5"/>
      <c r="AF62" s="6" t="str">
        <f t="shared" si="16"/>
        <v>N</v>
      </c>
      <c r="AG62" s="6" t="s">
        <v>2250</v>
      </c>
      <c r="AH62" t="str">
        <f t="shared" ref="AH62:AL62" si="187">IF(EXACT(AI62,I62)=TRUE,"Y","N")</f>
        <v>N</v>
      </c>
      <c r="AI62" t="s">
        <v>389</v>
      </c>
      <c r="AJ62" t="str">
        <f t="shared" si="187"/>
        <v>N</v>
      </c>
      <c r="AK62" s="6" t="s">
        <v>2251</v>
      </c>
      <c r="AL62" s="6" t="str">
        <f t="shared" si="187"/>
        <v>N</v>
      </c>
      <c r="AM62" s="6" t="s">
        <v>2252</v>
      </c>
      <c r="AN62" s="6" t="str">
        <f t="shared" ref="AN62:AR62" si="188">IF(EXACT(AO62,O62)=TRUE,"Y","N")</f>
        <v>N</v>
      </c>
      <c r="AO62" t="s">
        <v>2253</v>
      </c>
      <c r="AP62" t="str">
        <f t="shared" si="188"/>
        <v>N</v>
      </c>
      <c r="AQ62" t="s">
        <v>2254</v>
      </c>
      <c r="AR62" t="str">
        <f t="shared" si="188"/>
        <v>N</v>
      </c>
      <c r="AS62" t="s">
        <v>2255</v>
      </c>
      <c r="AT62" t="str">
        <f t="shared" si="19"/>
        <v>N</v>
      </c>
      <c r="AU62" t="s">
        <v>2256</v>
      </c>
      <c r="AV62" t="str">
        <f t="shared" si="20"/>
        <v>N</v>
      </c>
      <c r="AW62" t="s">
        <v>2257</v>
      </c>
      <c r="AX62" t="str">
        <f t="shared" ref="AX62:BB62" si="189">IF(EXACT(AY62,Y62)=TRUE,"Y","N")</f>
        <v>N</v>
      </c>
      <c r="AY62" t="s">
        <v>2258</v>
      </c>
      <c r="AZ62" t="str">
        <f t="shared" si="189"/>
        <v>N</v>
      </c>
      <c r="BA62" t="s">
        <v>2259</v>
      </c>
      <c r="BB62" t="str">
        <f t="shared" si="189"/>
        <v>N</v>
      </c>
      <c r="BC62" t="s">
        <v>2260</v>
      </c>
    </row>
    <row r="63" spans="1:55" x14ac:dyDescent="0.4">
      <c r="G63" s="24"/>
      <c r="H63" s="5"/>
      <c r="I63" s="24"/>
      <c r="J63" s="5"/>
      <c r="K63" s="24"/>
      <c r="L63" s="5"/>
      <c r="M63" s="27"/>
      <c r="N63" s="5"/>
      <c r="O63" s="27"/>
      <c r="P63" s="5"/>
      <c r="Q63" s="24"/>
      <c r="R63" s="5"/>
      <c r="S63" s="24"/>
      <c r="T63" s="5"/>
      <c r="U63" s="24"/>
      <c r="V63" s="5"/>
      <c r="W63" s="24"/>
      <c r="X63" s="5"/>
      <c r="Z63" s="5"/>
      <c r="AB63" s="5"/>
      <c r="AD63" s="5"/>
      <c r="AF63" s="6" t="str">
        <f t="shared" si="16"/>
        <v>N</v>
      </c>
      <c r="AG63" s="6" t="s">
        <v>2261</v>
      </c>
      <c r="AH63" t="str">
        <f t="shared" ref="AH63:AL63" si="190">IF(EXACT(AI63,I63)=TRUE,"Y","N")</f>
        <v>N</v>
      </c>
      <c r="AI63" t="s">
        <v>2262</v>
      </c>
      <c r="AJ63" t="str">
        <f t="shared" si="190"/>
        <v>N</v>
      </c>
      <c r="AK63" s="6" t="s">
        <v>2263</v>
      </c>
      <c r="AL63" s="6" t="str">
        <f t="shared" si="190"/>
        <v>N</v>
      </c>
      <c r="AM63" s="6" t="s">
        <v>2264</v>
      </c>
      <c r="AN63" s="6" t="str">
        <f t="shared" ref="AN63:AR63" si="191">IF(EXACT(AO63,O63)=TRUE,"Y","N")</f>
        <v>N</v>
      </c>
      <c r="AO63" t="s">
        <v>2265</v>
      </c>
      <c r="AP63" t="str">
        <f t="shared" si="191"/>
        <v>N</v>
      </c>
      <c r="AQ63" t="s">
        <v>2266</v>
      </c>
      <c r="AR63" t="str">
        <f t="shared" si="191"/>
        <v>N</v>
      </c>
      <c r="AS63" t="s">
        <v>2267</v>
      </c>
      <c r="AT63" t="str">
        <f t="shared" si="19"/>
        <v>N</v>
      </c>
      <c r="AU63" t="s">
        <v>2268</v>
      </c>
      <c r="AV63" t="str">
        <f t="shared" si="20"/>
        <v>N</v>
      </c>
      <c r="AW63" t="s">
        <v>2269</v>
      </c>
      <c r="AX63" t="str">
        <f t="shared" ref="AX63:BB63" si="192">IF(EXACT(AY63,Y63)=TRUE,"Y","N")</f>
        <v>N</v>
      </c>
      <c r="AY63" t="s">
        <v>2270</v>
      </c>
      <c r="AZ63" t="str">
        <f t="shared" si="192"/>
        <v>N</v>
      </c>
      <c r="BA63" t="s">
        <v>2271</v>
      </c>
      <c r="BB63" t="str">
        <f t="shared" si="192"/>
        <v>N</v>
      </c>
      <c r="BC63" t="s">
        <v>2272</v>
      </c>
    </row>
    <row r="64" spans="1:55" x14ac:dyDescent="0.4">
      <c r="G64" s="24"/>
      <c r="H64" s="5"/>
      <c r="I64" s="24"/>
      <c r="J64" s="5"/>
      <c r="K64" s="24"/>
      <c r="L64" s="5"/>
      <c r="M64" s="27"/>
      <c r="N64" s="5"/>
      <c r="O64" s="27"/>
      <c r="P64" s="5"/>
      <c r="Q64" s="24"/>
      <c r="R64" s="5"/>
      <c r="S64" s="24"/>
      <c r="T64" s="5"/>
      <c r="U64" s="24"/>
      <c r="V64" s="5"/>
      <c r="W64" s="24"/>
      <c r="X64" s="5"/>
      <c r="Z64" s="5"/>
      <c r="AB64" s="5"/>
      <c r="AD64" s="5"/>
      <c r="AF64" s="6" t="str">
        <f t="shared" si="16"/>
        <v>N</v>
      </c>
      <c r="AG64" s="6" t="s">
        <v>2273</v>
      </c>
      <c r="AH64" t="str">
        <f t="shared" ref="AH64:AL64" si="193">IF(EXACT(AI64,I64)=TRUE,"Y","N")</f>
        <v>N</v>
      </c>
      <c r="AI64" t="s">
        <v>2274</v>
      </c>
      <c r="AJ64" t="str">
        <f t="shared" si="193"/>
        <v>N</v>
      </c>
      <c r="AK64" s="6" t="s">
        <v>2275</v>
      </c>
      <c r="AL64" s="6" t="str">
        <f t="shared" si="193"/>
        <v>N</v>
      </c>
      <c r="AM64" s="6" t="s">
        <v>2276</v>
      </c>
      <c r="AN64" s="6" t="str">
        <f t="shared" ref="AN64:AR64" si="194">IF(EXACT(AO64,O64)=TRUE,"Y","N")</f>
        <v>N</v>
      </c>
      <c r="AO64" t="s">
        <v>2277</v>
      </c>
      <c r="AP64" t="str">
        <f t="shared" si="194"/>
        <v>N</v>
      </c>
      <c r="AQ64" t="s">
        <v>2278</v>
      </c>
      <c r="AR64" t="str">
        <f t="shared" si="194"/>
        <v>N</v>
      </c>
      <c r="AS64" t="s">
        <v>2279</v>
      </c>
      <c r="AT64" t="str">
        <f t="shared" si="19"/>
        <v>N</v>
      </c>
      <c r="AU64" t="s">
        <v>2280</v>
      </c>
      <c r="AV64" t="str">
        <f t="shared" si="20"/>
        <v>N</v>
      </c>
      <c r="AW64" t="s">
        <v>2281</v>
      </c>
      <c r="AX64" t="str">
        <f t="shared" ref="AX64:BB64" si="195">IF(EXACT(AY64,Y64)=TRUE,"Y","N")</f>
        <v>N</v>
      </c>
      <c r="AY64" t="s">
        <v>2282</v>
      </c>
      <c r="AZ64" t="str">
        <f t="shared" si="195"/>
        <v>N</v>
      </c>
      <c r="BA64" t="s">
        <v>2283</v>
      </c>
      <c r="BB64" t="str">
        <f t="shared" si="195"/>
        <v>N</v>
      </c>
      <c r="BC64" t="s">
        <v>2284</v>
      </c>
    </row>
    <row r="65" spans="1:55" x14ac:dyDescent="0.4">
      <c r="G65" s="24"/>
      <c r="H65" s="5"/>
      <c r="I65" s="24"/>
      <c r="J65" s="5"/>
      <c r="K65" s="24"/>
      <c r="L65" s="5"/>
      <c r="M65" s="27"/>
      <c r="N65" s="5"/>
      <c r="O65" s="27"/>
      <c r="P65" s="5"/>
      <c r="Q65" s="24"/>
      <c r="R65" s="5"/>
      <c r="S65" s="24"/>
      <c r="T65" s="5"/>
      <c r="U65" s="24"/>
      <c r="V65" s="5"/>
      <c r="W65" s="24"/>
      <c r="X65" s="5"/>
      <c r="Z65" s="5"/>
      <c r="AB65" s="5"/>
      <c r="AD65" s="5"/>
      <c r="AF65" s="6" t="str">
        <f t="shared" si="16"/>
        <v>N</v>
      </c>
      <c r="AG65" s="6" t="s">
        <v>2285</v>
      </c>
      <c r="AH65" t="str">
        <f t="shared" ref="AH65:AL65" si="196">IF(EXACT(AI65,I65)=TRUE,"Y","N")</f>
        <v>N</v>
      </c>
      <c r="AI65" t="s">
        <v>2286</v>
      </c>
      <c r="AJ65" t="str">
        <f t="shared" si="196"/>
        <v>N</v>
      </c>
      <c r="AK65" s="6" t="s">
        <v>2287</v>
      </c>
      <c r="AL65" s="6" t="str">
        <f t="shared" si="196"/>
        <v>N</v>
      </c>
      <c r="AM65" s="6" t="s">
        <v>2288</v>
      </c>
      <c r="AN65" s="6" t="str">
        <f t="shared" ref="AN65:AR65" si="197">IF(EXACT(AO65,O65)=TRUE,"Y","N")</f>
        <v>N</v>
      </c>
      <c r="AO65" t="s">
        <v>2289</v>
      </c>
      <c r="AP65" t="str">
        <f t="shared" si="197"/>
        <v>N</v>
      </c>
      <c r="AQ65" t="s">
        <v>2290</v>
      </c>
      <c r="AR65" t="str">
        <f t="shared" si="197"/>
        <v>N</v>
      </c>
      <c r="AS65" t="s">
        <v>2291</v>
      </c>
      <c r="AT65" t="str">
        <f t="shared" si="19"/>
        <v>N</v>
      </c>
      <c r="AU65" t="s">
        <v>2292</v>
      </c>
      <c r="AV65" t="str">
        <f t="shared" si="20"/>
        <v>N</v>
      </c>
      <c r="AW65" t="s">
        <v>2293</v>
      </c>
      <c r="AX65" t="str">
        <f t="shared" ref="AX65:BB65" si="198">IF(EXACT(AY65,Y65)=TRUE,"Y","N")</f>
        <v>N</v>
      </c>
      <c r="AY65" t="s">
        <v>2294</v>
      </c>
      <c r="AZ65" t="str">
        <f t="shared" si="198"/>
        <v>N</v>
      </c>
      <c r="BA65" t="s">
        <v>2295</v>
      </c>
      <c r="BB65" t="str">
        <f t="shared" si="198"/>
        <v>N</v>
      </c>
      <c r="BC65" t="s">
        <v>2296</v>
      </c>
    </row>
    <row r="66" spans="1:55" x14ac:dyDescent="0.4">
      <c r="G66" s="24"/>
      <c r="H66" s="5"/>
      <c r="I66" s="24"/>
      <c r="J66" s="5"/>
      <c r="K66" s="24"/>
      <c r="L66" s="5"/>
      <c r="M66" s="27"/>
      <c r="N66" s="5"/>
      <c r="O66" s="27"/>
      <c r="P66" s="5"/>
      <c r="Q66" s="24"/>
      <c r="R66" s="5"/>
      <c r="S66" s="24"/>
      <c r="T66" s="5"/>
      <c r="U66" s="24"/>
      <c r="V66" s="5"/>
      <c r="W66" s="24"/>
      <c r="X66" s="5"/>
      <c r="Z66" s="5"/>
      <c r="AB66" s="5"/>
      <c r="AD66" s="5"/>
      <c r="AF66" s="6" t="str">
        <f t="shared" si="16"/>
        <v>N</v>
      </c>
      <c r="AG66" s="6" t="s">
        <v>2297</v>
      </c>
      <c r="AH66" t="str">
        <f t="shared" ref="AH66:AL66" si="199">IF(EXACT(AI66,I66)=TRUE,"Y","N")</f>
        <v>N</v>
      </c>
      <c r="AI66" t="s">
        <v>2298</v>
      </c>
      <c r="AJ66" t="str">
        <f t="shared" si="199"/>
        <v>N</v>
      </c>
      <c r="AK66" s="6" t="s">
        <v>2299</v>
      </c>
      <c r="AL66" s="6" t="str">
        <f t="shared" si="199"/>
        <v>N</v>
      </c>
      <c r="AM66" s="6" t="s">
        <v>2300</v>
      </c>
      <c r="AN66" s="6" t="str">
        <f t="shared" ref="AN66:AR66" si="200">IF(EXACT(AO66,O66)=TRUE,"Y","N")</f>
        <v>N</v>
      </c>
      <c r="AO66" t="s">
        <v>2301</v>
      </c>
      <c r="AP66" t="str">
        <f t="shared" si="200"/>
        <v>N</v>
      </c>
      <c r="AQ66" t="s">
        <v>2302</v>
      </c>
      <c r="AR66" t="str">
        <f t="shared" si="200"/>
        <v>N</v>
      </c>
      <c r="AS66" t="s">
        <v>2303</v>
      </c>
      <c r="AT66" t="str">
        <f t="shared" si="19"/>
        <v>N</v>
      </c>
      <c r="AU66" t="s">
        <v>2304</v>
      </c>
      <c r="AV66" t="str">
        <f t="shared" si="20"/>
        <v>N</v>
      </c>
      <c r="AW66" t="s">
        <v>2305</v>
      </c>
      <c r="AX66" t="str">
        <f t="shared" ref="AX66:BB66" si="201">IF(EXACT(AY66,Y66)=TRUE,"Y","N")</f>
        <v>N</v>
      </c>
      <c r="AY66" t="s">
        <v>2306</v>
      </c>
      <c r="AZ66" t="str">
        <f t="shared" si="201"/>
        <v>N</v>
      </c>
      <c r="BA66" t="s">
        <v>2307</v>
      </c>
      <c r="BB66" t="str">
        <f t="shared" si="201"/>
        <v>N</v>
      </c>
      <c r="BC66" t="s">
        <v>2308</v>
      </c>
    </row>
    <row r="67" spans="1:55" x14ac:dyDescent="0.4">
      <c r="G67" s="24"/>
      <c r="H67" s="5"/>
      <c r="I67" s="24"/>
      <c r="J67" s="5"/>
      <c r="K67" s="24"/>
      <c r="L67" s="5"/>
      <c r="M67" s="27"/>
      <c r="N67" s="5"/>
      <c r="O67" s="27"/>
      <c r="P67" s="5"/>
      <c r="Q67" s="24"/>
      <c r="R67" s="5"/>
      <c r="S67" s="24"/>
      <c r="T67" s="5"/>
      <c r="U67" s="24"/>
      <c r="V67" s="5"/>
      <c r="W67" s="24"/>
      <c r="X67" s="5"/>
      <c r="Z67" s="5"/>
      <c r="AB67" s="5"/>
      <c r="AD67" s="5"/>
      <c r="AF67" s="6" t="str">
        <f t="shared" si="16"/>
        <v>N</v>
      </c>
      <c r="AG67" s="6" t="s">
        <v>2309</v>
      </c>
      <c r="AH67" t="str">
        <f t="shared" ref="AH67:AL67" si="202">IF(EXACT(AI67,I67)=TRUE,"Y","N")</f>
        <v>N</v>
      </c>
      <c r="AI67" t="s">
        <v>2310</v>
      </c>
      <c r="AJ67" t="str">
        <f t="shared" si="202"/>
        <v>N</v>
      </c>
      <c r="AK67" s="6" t="s">
        <v>2311</v>
      </c>
      <c r="AL67" s="6" t="str">
        <f t="shared" si="202"/>
        <v>N</v>
      </c>
      <c r="AM67" s="6" t="s">
        <v>2312</v>
      </c>
      <c r="AN67" s="6" t="str">
        <f t="shared" ref="AN67:AR67" si="203">IF(EXACT(AO67,O67)=TRUE,"Y","N")</f>
        <v>N</v>
      </c>
      <c r="AO67" t="s">
        <v>2313</v>
      </c>
      <c r="AP67" t="str">
        <f t="shared" si="203"/>
        <v>N</v>
      </c>
      <c r="AQ67" t="s">
        <v>2314</v>
      </c>
      <c r="AR67" t="str">
        <f t="shared" si="203"/>
        <v>N</v>
      </c>
      <c r="AS67" t="s">
        <v>2315</v>
      </c>
      <c r="AT67" t="str">
        <f t="shared" si="19"/>
        <v>N</v>
      </c>
      <c r="AU67" t="s">
        <v>2316</v>
      </c>
      <c r="AV67" t="str">
        <f t="shared" si="20"/>
        <v>N</v>
      </c>
      <c r="AW67" t="s">
        <v>2317</v>
      </c>
      <c r="AX67" t="str">
        <f t="shared" ref="AX67:BB67" si="204">IF(EXACT(AY67,Y67)=TRUE,"Y","N")</f>
        <v>N</v>
      </c>
      <c r="AY67" t="s">
        <v>2318</v>
      </c>
      <c r="AZ67" t="str">
        <f t="shared" si="204"/>
        <v>N</v>
      </c>
      <c r="BA67" t="s">
        <v>2319</v>
      </c>
      <c r="BB67" t="str">
        <f t="shared" si="204"/>
        <v>N</v>
      </c>
      <c r="BC67" t="s">
        <v>2320</v>
      </c>
    </row>
    <row r="68" spans="1:55" x14ac:dyDescent="0.4">
      <c r="A68" s="7"/>
      <c r="B68" s="7"/>
      <c r="C68" s="7"/>
      <c r="D68" s="7"/>
      <c r="E68" s="7"/>
      <c r="F68" s="7"/>
      <c r="G68" s="24"/>
      <c r="H68" s="5"/>
      <c r="I68" s="24"/>
      <c r="J68" s="5"/>
      <c r="K68" s="24"/>
      <c r="L68" s="5"/>
      <c r="M68" s="27"/>
      <c r="N68" s="5"/>
      <c r="O68" s="27"/>
      <c r="P68" s="5"/>
      <c r="Q68" s="24"/>
      <c r="R68" s="5"/>
      <c r="S68" s="24"/>
      <c r="T68" s="5"/>
      <c r="U68" s="24"/>
      <c r="V68" s="5"/>
      <c r="W68" s="24"/>
      <c r="X68" s="5"/>
      <c r="Z68" s="5"/>
      <c r="AB68" s="5"/>
      <c r="AD68" s="5"/>
      <c r="AF68" s="6" t="str">
        <f t="shared" si="16"/>
        <v>N</v>
      </c>
      <c r="AG68" s="6" t="s">
        <v>2321</v>
      </c>
      <c r="AH68" t="str">
        <f t="shared" ref="AH68:AL68" si="205">IF(EXACT(AI68,I68)=TRUE,"Y","N")</f>
        <v>N</v>
      </c>
      <c r="AI68" t="s">
        <v>2322</v>
      </c>
      <c r="AJ68" t="str">
        <f t="shared" si="205"/>
        <v>N</v>
      </c>
      <c r="AK68" s="6" t="s">
        <v>2323</v>
      </c>
      <c r="AL68" s="6" t="str">
        <f t="shared" si="205"/>
        <v>N</v>
      </c>
      <c r="AM68" s="6" t="s">
        <v>2324</v>
      </c>
      <c r="AN68" s="6" t="str">
        <f t="shared" ref="AN68:AR68" si="206">IF(EXACT(AO68,O68)=TRUE,"Y","N")</f>
        <v>N</v>
      </c>
      <c r="AO68" t="s">
        <v>2325</v>
      </c>
      <c r="AP68" t="str">
        <f t="shared" si="206"/>
        <v>N</v>
      </c>
      <c r="AQ68" t="s">
        <v>2326</v>
      </c>
      <c r="AR68" t="str">
        <f t="shared" si="206"/>
        <v>N</v>
      </c>
      <c r="AS68" t="s">
        <v>2327</v>
      </c>
      <c r="AT68" t="str">
        <f t="shared" si="19"/>
        <v>N</v>
      </c>
      <c r="AU68" t="s">
        <v>2328</v>
      </c>
      <c r="AV68" t="str">
        <f t="shared" si="20"/>
        <v>N</v>
      </c>
      <c r="AW68" t="s">
        <v>2329</v>
      </c>
      <c r="AX68" t="str">
        <f t="shared" ref="AX68:BB68" si="207">IF(EXACT(AY68,Y68)=TRUE,"Y","N")</f>
        <v>N</v>
      </c>
      <c r="AY68" t="s">
        <v>2330</v>
      </c>
      <c r="AZ68" t="str">
        <f t="shared" si="207"/>
        <v>N</v>
      </c>
      <c r="BA68" t="s">
        <v>2331</v>
      </c>
      <c r="BB68" t="str">
        <f t="shared" si="207"/>
        <v>N</v>
      </c>
      <c r="BC68" t="s">
        <v>2332</v>
      </c>
    </row>
    <row r="69" spans="1:55" x14ac:dyDescent="0.4">
      <c r="A69" s="7"/>
      <c r="B69" s="7"/>
      <c r="C69" s="7"/>
      <c r="D69" s="7"/>
      <c r="E69" s="7"/>
      <c r="F69" s="7"/>
      <c r="G69" s="24"/>
      <c r="H69" s="5"/>
      <c r="I69" s="24"/>
      <c r="J69" s="5"/>
      <c r="K69" s="24"/>
      <c r="L69" s="5"/>
      <c r="M69" s="27"/>
      <c r="N69" s="5"/>
      <c r="O69" s="27"/>
      <c r="P69" s="5"/>
      <c r="Q69" s="24"/>
      <c r="R69" s="5"/>
      <c r="S69" s="24"/>
      <c r="T69" s="5"/>
      <c r="U69" s="24"/>
      <c r="V69" s="5"/>
      <c r="W69" s="24"/>
      <c r="X69" s="5"/>
      <c r="Z69" s="5"/>
      <c r="AB69" s="5"/>
      <c r="AD69" s="5"/>
      <c r="AF69" s="6" t="str">
        <f t="shared" si="16"/>
        <v>N</v>
      </c>
      <c r="AG69" s="6" t="s">
        <v>2333</v>
      </c>
      <c r="AH69" t="str">
        <f t="shared" ref="AH69:AL69" si="208">IF(EXACT(AI69,I69)=TRUE,"Y","N")</f>
        <v>N</v>
      </c>
      <c r="AI69" t="s">
        <v>2334</v>
      </c>
      <c r="AJ69" t="str">
        <f t="shared" si="208"/>
        <v>N</v>
      </c>
      <c r="AK69" s="6" t="s">
        <v>2335</v>
      </c>
      <c r="AL69" s="6" t="str">
        <f t="shared" si="208"/>
        <v>N</v>
      </c>
      <c r="AM69" s="6" t="s">
        <v>2336</v>
      </c>
      <c r="AN69" s="6" t="str">
        <f t="shared" ref="AN69:AR69" si="209">IF(EXACT(AO69,O69)=TRUE,"Y","N")</f>
        <v>N</v>
      </c>
      <c r="AO69" t="s">
        <v>2337</v>
      </c>
      <c r="AP69" t="str">
        <f t="shared" si="209"/>
        <v>N</v>
      </c>
      <c r="AQ69" t="s">
        <v>2338</v>
      </c>
      <c r="AR69" t="str">
        <f t="shared" si="209"/>
        <v>N</v>
      </c>
      <c r="AS69" t="s">
        <v>2339</v>
      </c>
      <c r="AT69" t="str">
        <f t="shared" si="19"/>
        <v>N</v>
      </c>
      <c r="AU69" t="s">
        <v>2340</v>
      </c>
      <c r="AV69" t="str">
        <f t="shared" si="20"/>
        <v>N</v>
      </c>
      <c r="AW69" t="s">
        <v>2341</v>
      </c>
      <c r="AX69" t="str">
        <f t="shared" ref="AX69:BB69" si="210">IF(EXACT(AY69,Y69)=TRUE,"Y","N")</f>
        <v>N</v>
      </c>
      <c r="AY69" t="s">
        <v>2342</v>
      </c>
      <c r="AZ69" t="str">
        <f t="shared" si="210"/>
        <v>N</v>
      </c>
      <c r="BA69" t="s">
        <v>2343</v>
      </c>
      <c r="BB69" t="str">
        <f t="shared" si="210"/>
        <v>N</v>
      </c>
      <c r="BC69" t="s">
        <v>2344</v>
      </c>
    </row>
    <row r="70" spans="1:55" x14ac:dyDescent="0.4">
      <c r="A70" s="7"/>
      <c r="B70" s="7"/>
      <c r="C70" s="7"/>
      <c r="D70" s="7"/>
      <c r="E70" s="7"/>
      <c r="F70" s="7"/>
      <c r="G70" s="24"/>
      <c r="H70" s="5"/>
      <c r="I70" s="24"/>
      <c r="J70" s="5"/>
      <c r="K70" s="24"/>
      <c r="L70" s="5"/>
      <c r="M70" s="27"/>
      <c r="N70" s="5"/>
      <c r="O70" s="27"/>
      <c r="P70" s="5"/>
      <c r="Q70" s="24"/>
      <c r="R70" s="5"/>
      <c r="S70" s="24"/>
      <c r="T70" s="5"/>
      <c r="U70" s="24"/>
      <c r="V70" s="5"/>
      <c r="W70" s="24"/>
      <c r="X70" s="5"/>
      <c r="Z70" s="5"/>
      <c r="AB70" s="5"/>
      <c r="AD70" s="5"/>
      <c r="AF70" s="6" t="str">
        <f t="shared" ref="AF70:AF116" si="211">IF(EXACT(AG70,AM70)=TRUE,"Y","N")</f>
        <v>N</v>
      </c>
      <c r="AG70" s="6" t="s">
        <v>2345</v>
      </c>
      <c r="AH70" t="str">
        <f t="shared" ref="AH70:AL70" si="212">IF(EXACT(AI70,I70)=TRUE,"Y","N")</f>
        <v>N</v>
      </c>
      <c r="AI70" t="s">
        <v>2346</v>
      </c>
      <c r="AJ70" t="str">
        <f t="shared" si="212"/>
        <v>N</v>
      </c>
      <c r="AK70" s="6" t="s">
        <v>2347</v>
      </c>
      <c r="AL70" s="6" t="str">
        <f t="shared" si="212"/>
        <v>N</v>
      </c>
      <c r="AM70" s="6" t="s">
        <v>2348</v>
      </c>
      <c r="AN70" s="6" t="str">
        <f t="shared" ref="AN70:AR70" si="213">IF(EXACT(AO70,O70)=TRUE,"Y","N")</f>
        <v>N</v>
      </c>
      <c r="AO70" t="s">
        <v>2349</v>
      </c>
      <c r="AP70" t="str">
        <f t="shared" si="213"/>
        <v>N</v>
      </c>
      <c r="AQ70" t="s">
        <v>2350</v>
      </c>
      <c r="AR70" t="str">
        <f t="shared" si="213"/>
        <v>N</v>
      </c>
      <c r="AS70" t="s">
        <v>2351</v>
      </c>
      <c r="AT70" t="str">
        <f t="shared" ref="AT70:AT133" si="214">IF(EXACT(AU70,U70)=TRUE,"Y","N")</f>
        <v>N</v>
      </c>
      <c r="AU70" t="s">
        <v>2352</v>
      </c>
      <c r="AV70" t="str">
        <f t="shared" ref="AV70:AV133" si="215">IF(EXACT(AW70,W70)=TRUE,"Y","N")</f>
        <v>N</v>
      </c>
      <c r="AW70" t="s">
        <v>2353</v>
      </c>
      <c r="AX70" t="str">
        <f t="shared" ref="AX70:BB70" si="216">IF(EXACT(AY70,Y70)=TRUE,"Y","N")</f>
        <v>N</v>
      </c>
      <c r="AY70" t="s">
        <v>5746</v>
      </c>
      <c r="AZ70" t="str">
        <f t="shared" si="216"/>
        <v>N</v>
      </c>
      <c r="BA70" t="s">
        <v>2354</v>
      </c>
      <c r="BB70" t="str">
        <f t="shared" si="216"/>
        <v>N</v>
      </c>
      <c r="BC70" t="s">
        <v>2355</v>
      </c>
    </row>
    <row r="71" spans="1:55" x14ac:dyDescent="0.4">
      <c r="A71" s="7"/>
      <c r="B71" s="7"/>
      <c r="C71" s="7"/>
      <c r="D71" s="7"/>
      <c r="E71" s="7"/>
      <c r="F71" s="7"/>
      <c r="G71" s="24"/>
      <c r="H71" s="5"/>
      <c r="I71" s="24"/>
      <c r="J71" s="5"/>
      <c r="K71" s="24"/>
      <c r="L71" s="5"/>
      <c r="M71" s="27"/>
      <c r="N71" s="5"/>
      <c r="O71" s="27"/>
      <c r="P71" s="5"/>
      <c r="Q71" s="24"/>
      <c r="R71" s="5"/>
      <c r="S71" s="24"/>
      <c r="T71" s="5"/>
      <c r="U71" s="24"/>
      <c r="V71" s="5"/>
      <c r="W71" s="24"/>
      <c r="X71" s="5"/>
      <c r="Z71" s="5"/>
      <c r="AB71" s="5"/>
      <c r="AD71" s="5"/>
      <c r="AF71" s="6" t="str">
        <f t="shared" si="211"/>
        <v>N</v>
      </c>
      <c r="AG71" s="6" t="s">
        <v>2356</v>
      </c>
      <c r="AH71" t="str">
        <f t="shared" ref="AH71:AL71" si="217">IF(EXACT(AI71,I71)=TRUE,"Y","N")</f>
        <v>N</v>
      </c>
      <c r="AI71" t="s">
        <v>2357</v>
      </c>
      <c r="AJ71" t="str">
        <f t="shared" si="217"/>
        <v>N</v>
      </c>
      <c r="AK71" s="6" t="s">
        <v>2358</v>
      </c>
      <c r="AL71" s="6" t="str">
        <f t="shared" si="217"/>
        <v>N</v>
      </c>
      <c r="AM71" s="6" t="s">
        <v>2359</v>
      </c>
      <c r="AN71" s="6" t="str">
        <f t="shared" ref="AN71:AR71" si="218">IF(EXACT(AO71,O71)=TRUE,"Y","N")</f>
        <v>N</v>
      </c>
      <c r="AO71" t="s">
        <v>2360</v>
      </c>
      <c r="AP71" t="str">
        <f t="shared" si="218"/>
        <v>N</v>
      </c>
      <c r="AQ71" t="s">
        <v>2361</v>
      </c>
      <c r="AR71" t="str">
        <f t="shared" si="218"/>
        <v>N</v>
      </c>
      <c r="AS71" t="s">
        <v>2362</v>
      </c>
      <c r="AT71" t="str">
        <f t="shared" si="214"/>
        <v>N</v>
      </c>
      <c r="AU71" t="s">
        <v>2363</v>
      </c>
      <c r="AV71" t="str">
        <f t="shared" si="215"/>
        <v>N</v>
      </c>
      <c r="AW71" t="s">
        <v>2364</v>
      </c>
      <c r="AX71" t="str">
        <f t="shared" ref="AX71:BB71" si="219">IF(EXACT(AY71,Y71)=TRUE,"Y","N")</f>
        <v>N</v>
      </c>
      <c r="AY71" t="s">
        <v>2365</v>
      </c>
      <c r="AZ71" t="str">
        <f t="shared" si="219"/>
        <v>N</v>
      </c>
      <c r="BA71" t="s">
        <v>2366</v>
      </c>
      <c r="BB71" t="str">
        <f t="shared" si="219"/>
        <v>N</v>
      </c>
      <c r="BC71" t="s">
        <v>2367</v>
      </c>
    </row>
    <row r="72" spans="1:55" x14ac:dyDescent="0.4">
      <c r="A72" s="7"/>
      <c r="B72" s="7"/>
      <c r="C72" s="7"/>
      <c r="D72" s="7"/>
      <c r="E72" s="7"/>
      <c r="F72" s="7"/>
      <c r="G72" s="24"/>
      <c r="H72" s="5"/>
      <c r="I72" s="24"/>
      <c r="J72" s="5"/>
      <c r="K72" s="24"/>
      <c r="L72" s="5"/>
      <c r="M72" s="27"/>
      <c r="N72" s="5"/>
      <c r="O72" s="27"/>
      <c r="P72" s="5"/>
      <c r="Q72" s="24"/>
      <c r="R72" s="5"/>
      <c r="S72" s="24"/>
      <c r="T72" s="5"/>
      <c r="U72" s="24"/>
      <c r="V72" s="5"/>
      <c r="W72" s="24"/>
      <c r="X72" s="5"/>
      <c r="Z72" s="5"/>
      <c r="AB72" s="5"/>
      <c r="AD72" s="5"/>
      <c r="AF72" s="6" t="str">
        <f t="shared" si="211"/>
        <v>N</v>
      </c>
      <c r="AG72" s="6" t="s">
        <v>2368</v>
      </c>
      <c r="AH72" t="str">
        <f t="shared" ref="AH72:AL72" si="220">IF(EXACT(AI72,I72)=TRUE,"Y","N")</f>
        <v>N</v>
      </c>
      <c r="AI72" t="s">
        <v>2369</v>
      </c>
      <c r="AJ72" t="str">
        <f t="shared" si="220"/>
        <v>N</v>
      </c>
      <c r="AK72" s="6" t="s">
        <v>2370</v>
      </c>
      <c r="AL72" s="6" t="str">
        <f t="shared" si="220"/>
        <v>N</v>
      </c>
      <c r="AM72" s="6" t="s">
        <v>2371</v>
      </c>
      <c r="AN72" s="6" t="str">
        <f t="shared" ref="AN72:AR72" si="221">IF(EXACT(AO72,O72)=TRUE,"Y","N")</f>
        <v>N</v>
      </c>
      <c r="AO72" t="s">
        <v>2372</v>
      </c>
      <c r="AP72" t="str">
        <f t="shared" si="221"/>
        <v>N</v>
      </c>
      <c r="AQ72" t="s">
        <v>2373</v>
      </c>
      <c r="AR72" t="str">
        <f t="shared" si="221"/>
        <v>N</v>
      </c>
      <c r="AS72" t="s">
        <v>2374</v>
      </c>
      <c r="AT72" t="str">
        <f t="shared" si="214"/>
        <v>N</v>
      </c>
      <c r="AU72" t="s">
        <v>2375</v>
      </c>
      <c r="AV72" t="str">
        <f t="shared" si="215"/>
        <v>N</v>
      </c>
      <c r="AW72" t="s">
        <v>2376</v>
      </c>
      <c r="AX72" t="str">
        <f t="shared" ref="AX72:BB72" si="222">IF(EXACT(AY72,Y72)=TRUE,"Y","N")</f>
        <v>N</v>
      </c>
      <c r="AY72" t="s">
        <v>1428</v>
      </c>
      <c r="AZ72" t="str">
        <f t="shared" si="222"/>
        <v>N</v>
      </c>
      <c r="BA72" t="s">
        <v>2377</v>
      </c>
      <c r="BB72" t="str">
        <f t="shared" si="222"/>
        <v>N</v>
      </c>
      <c r="BC72" t="s">
        <v>2378</v>
      </c>
    </row>
    <row r="73" spans="1:55" x14ac:dyDescent="0.4">
      <c r="A73" s="7"/>
      <c r="B73" s="7"/>
      <c r="C73" s="7"/>
      <c r="D73" s="7"/>
      <c r="E73" s="7"/>
      <c r="F73" s="7"/>
      <c r="G73" s="24"/>
      <c r="H73" s="5"/>
      <c r="I73" s="24"/>
      <c r="J73" s="5"/>
      <c r="K73" s="24"/>
      <c r="L73" s="5"/>
      <c r="M73" s="27"/>
      <c r="N73" s="5"/>
      <c r="O73" s="27"/>
      <c r="P73" s="5"/>
      <c r="Q73" s="24"/>
      <c r="R73" s="5"/>
      <c r="S73" s="24"/>
      <c r="T73" s="5"/>
      <c r="U73" s="24"/>
      <c r="V73" s="5"/>
      <c r="W73" s="24"/>
      <c r="X73" s="5"/>
      <c r="Z73" s="5"/>
      <c r="AB73" s="5"/>
      <c r="AD73" s="5"/>
      <c r="AF73" s="6" t="str">
        <f t="shared" si="211"/>
        <v>N</v>
      </c>
      <c r="AG73" s="6" t="s">
        <v>2379</v>
      </c>
      <c r="AH73" t="str">
        <f t="shared" ref="AH73:AL73" si="223">IF(EXACT(AI73,I73)=TRUE,"Y","N")</f>
        <v>N</v>
      </c>
      <c r="AI73" t="s">
        <v>2380</v>
      </c>
      <c r="AJ73" t="str">
        <f t="shared" si="223"/>
        <v>N</v>
      </c>
      <c r="AK73" s="6" t="s">
        <v>2381</v>
      </c>
      <c r="AL73" s="6" t="str">
        <f t="shared" si="223"/>
        <v>N</v>
      </c>
      <c r="AM73" s="6" t="s">
        <v>2382</v>
      </c>
      <c r="AN73" s="6" t="str">
        <f t="shared" ref="AN73:AR73" si="224">IF(EXACT(AO73,O73)=TRUE,"Y","N")</f>
        <v>N</v>
      </c>
      <c r="AO73" t="s">
        <v>2383</v>
      </c>
      <c r="AP73" t="str">
        <f t="shared" si="224"/>
        <v>N</v>
      </c>
      <c r="AQ73" t="s">
        <v>2384</v>
      </c>
      <c r="AR73" t="str">
        <f t="shared" si="224"/>
        <v>N</v>
      </c>
      <c r="AS73" t="s">
        <v>2385</v>
      </c>
      <c r="AT73" t="str">
        <f t="shared" si="214"/>
        <v>N</v>
      </c>
      <c r="AU73" t="s">
        <v>2386</v>
      </c>
      <c r="AV73" t="str">
        <f t="shared" si="215"/>
        <v>N</v>
      </c>
      <c r="AW73" t="s">
        <v>2387</v>
      </c>
      <c r="AX73" t="str">
        <f t="shared" ref="AX73:BB73" si="225">IF(EXACT(AY73,Y73)=TRUE,"Y","N")</f>
        <v>N</v>
      </c>
      <c r="AY73" t="s">
        <v>1431</v>
      </c>
      <c r="AZ73" t="str">
        <f t="shared" si="225"/>
        <v>N</v>
      </c>
      <c r="BA73" t="s">
        <v>2388</v>
      </c>
      <c r="BB73" t="str">
        <f t="shared" si="225"/>
        <v>N</v>
      </c>
      <c r="BC73" t="s">
        <v>2389</v>
      </c>
    </row>
    <row r="74" spans="1:55" x14ac:dyDescent="0.4">
      <c r="A74" s="7"/>
      <c r="B74" s="7"/>
      <c r="C74" s="7"/>
      <c r="D74" s="7"/>
      <c r="E74" s="7"/>
      <c r="F74" s="7"/>
      <c r="G74" s="24"/>
      <c r="H74" s="5"/>
      <c r="I74" s="24"/>
      <c r="J74" s="5"/>
      <c r="K74" s="24"/>
      <c r="L74" s="5"/>
      <c r="M74" s="27"/>
      <c r="N74" s="5"/>
      <c r="O74" s="27"/>
      <c r="P74" s="5"/>
      <c r="Q74" s="24"/>
      <c r="R74" s="5"/>
      <c r="S74" s="24"/>
      <c r="T74" s="5"/>
      <c r="U74" s="24"/>
      <c r="V74" s="5"/>
      <c r="W74" s="24"/>
      <c r="X74" s="5"/>
      <c r="Z74" s="5"/>
      <c r="AB74" s="5"/>
      <c r="AD74" s="5"/>
      <c r="AF74" s="6" t="str">
        <f t="shared" si="211"/>
        <v>N</v>
      </c>
      <c r="AG74" s="6" t="s">
        <v>2390</v>
      </c>
      <c r="AH74" t="str">
        <f t="shared" ref="AH74:AL74" si="226">IF(EXACT(AI74,I74)=TRUE,"Y","N")</f>
        <v>N</v>
      </c>
      <c r="AI74" t="s">
        <v>2391</v>
      </c>
      <c r="AJ74" t="str">
        <f t="shared" si="226"/>
        <v>N</v>
      </c>
      <c r="AK74" s="6" t="s">
        <v>2392</v>
      </c>
      <c r="AL74" s="6" t="str">
        <f t="shared" si="226"/>
        <v>N</v>
      </c>
      <c r="AM74" s="6" t="s">
        <v>2393</v>
      </c>
      <c r="AN74" s="6" t="str">
        <f t="shared" ref="AN74:AR74" si="227">IF(EXACT(AO74,O74)=TRUE,"Y","N")</f>
        <v>N</v>
      </c>
      <c r="AO74" t="s">
        <v>2394</v>
      </c>
      <c r="AP74" t="str">
        <f t="shared" si="227"/>
        <v>N</v>
      </c>
      <c r="AQ74" t="s">
        <v>2395</v>
      </c>
      <c r="AR74" t="str">
        <f t="shared" si="227"/>
        <v>N</v>
      </c>
      <c r="AS74" t="s">
        <v>2396</v>
      </c>
      <c r="AT74" t="str">
        <f t="shared" si="214"/>
        <v>N</v>
      </c>
      <c r="AU74" t="s">
        <v>2397</v>
      </c>
      <c r="AV74" t="str">
        <f t="shared" si="215"/>
        <v>N</v>
      </c>
      <c r="AW74" t="s">
        <v>2398</v>
      </c>
      <c r="AX74" t="str">
        <f t="shared" ref="AX74:BB74" si="228">IF(EXACT(AY74,Y74)=TRUE,"Y","N")</f>
        <v>N</v>
      </c>
      <c r="AY74" t="s">
        <v>2399</v>
      </c>
      <c r="AZ74" t="str">
        <f t="shared" si="228"/>
        <v>N</v>
      </c>
      <c r="BA74" t="s">
        <v>2400</v>
      </c>
      <c r="BB74" t="str">
        <f t="shared" si="228"/>
        <v>N</v>
      </c>
      <c r="BC74" t="s">
        <v>2401</v>
      </c>
    </row>
    <row r="75" spans="1:55" x14ac:dyDescent="0.4">
      <c r="A75" s="7"/>
      <c r="B75" s="7"/>
      <c r="C75" s="7"/>
      <c r="D75" s="7"/>
      <c r="E75" s="7"/>
      <c r="F75" s="7"/>
      <c r="G75" s="24"/>
      <c r="H75" s="5"/>
      <c r="I75" s="24"/>
      <c r="J75" s="5"/>
      <c r="K75" s="24"/>
      <c r="L75" s="5"/>
      <c r="M75" s="27"/>
      <c r="N75" s="5"/>
      <c r="O75" s="27"/>
      <c r="P75" s="5"/>
      <c r="Q75" s="24"/>
      <c r="R75" s="5"/>
      <c r="S75" s="24"/>
      <c r="T75" s="5"/>
      <c r="U75" s="24"/>
      <c r="V75" s="5"/>
      <c r="W75" s="24"/>
      <c r="X75" s="5"/>
      <c r="Z75" s="5"/>
      <c r="AB75" s="5"/>
      <c r="AD75" s="5"/>
      <c r="AF75" s="6" t="str">
        <f t="shared" si="211"/>
        <v>N</v>
      </c>
      <c r="AG75" s="6" t="s">
        <v>2402</v>
      </c>
      <c r="AH75" t="str">
        <f t="shared" ref="AH75:AL75" si="229">IF(EXACT(AI75,I75)=TRUE,"Y","N")</f>
        <v>N</v>
      </c>
      <c r="AI75" t="s">
        <v>2403</v>
      </c>
      <c r="AJ75" t="str">
        <f t="shared" si="229"/>
        <v>N</v>
      </c>
      <c r="AK75" s="6" t="s">
        <v>2404</v>
      </c>
      <c r="AL75" s="6" t="str">
        <f t="shared" si="229"/>
        <v>N</v>
      </c>
      <c r="AM75" s="6" t="s">
        <v>2405</v>
      </c>
      <c r="AN75" s="6" t="str">
        <f t="shared" ref="AN75:AR75" si="230">IF(EXACT(AO75,O75)=TRUE,"Y","N")</f>
        <v>N</v>
      </c>
      <c r="AO75" t="s">
        <v>2406</v>
      </c>
      <c r="AP75" t="str">
        <f t="shared" si="230"/>
        <v>N</v>
      </c>
      <c r="AQ75" t="s">
        <v>2407</v>
      </c>
      <c r="AR75" t="str">
        <f t="shared" si="230"/>
        <v>N</v>
      </c>
      <c r="AS75" t="s">
        <v>2408</v>
      </c>
      <c r="AT75" t="str">
        <f t="shared" si="214"/>
        <v>N</v>
      </c>
      <c r="AU75" t="s">
        <v>2409</v>
      </c>
      <c r="AV75" t="str">
        <f t="shared" si="215"/>
        <v>N</v>
      </c>
      <c r="AW75" t="s">
        <v>2410</v>
      </c>
      <c r="AX75" t="str">
        <f t="shared" ref="AX75:BB75" si="231">IF(EXACT(AY75,Y75)=TRUE,"Y","N")</f>
        <v>N</v>
      </c>
      <c r="AY75" t="s">
        <v>2411</v>
      </c>
      <c r="AZ75" t="str">
        <f t="shared" si="231"/>
        <v>N</v>
      </c>
      <c r="BA75" t="s">
        <v>2412</v>
      </c>
      <c r="BB75" t="str">
        <f t="shared" si="231"/>
        <v>N</v>
      </c>
      <c r="BC75" t="s">
        <v>2413</v>
      </c>
    </row>
    <row r="76" spans="1:55" x14ac:dyDescent="0.4">
      <c r="A76" s="7"/>
      <c r="B76" s="7"/>
      <c r="C76" s="7"/>
      <c r="D76" s="7"/>
      <c r="E76" s="7"/>
      <c r="F76" s="7"/>
      <c r="G76" s="24"/>
      <c r="H76" s="5"/>
      <c r="I76" s="24"/>
      <c r="J76" s="5"/>
      <c r="K76" s="24"/>
      <c r="L76" s="5"/>
      <c r="M76" s="27"/>
      <c r="N76" s="5"/>
      <c r="O76" s="27"/>
      <c r="P76" s="5"/>
      <c r="Q76" s="24"/>
      <c r="R76" s="5"/>
      <c r="S76" s="24"/>
      <c r="T76" s="5"/>
      <c r="U76" s="24"/>
      <c r="V76" s="5"/>
      <c r="W76" s="24"/>
      <c r="X76" s="5"/>
      <c r="Z76" s="5"/>
      <c r="AB76" s="5"/>
      <c r="AD76" s="5"/>
      <c r="AF76" s="6" t="str">
        <f t="shared" si="211"/>
        <v>N</v>
      </c>
      <c r="AG76" s="6" t="s">
        <v>2414</v>
      </c>
      <c r="AH76" t="str">
        <f t="shared" ref="AH76:AL76" si="232">IF(EXACT(AI76,I76)=TRUE,"Y","N")</f>
        <v>N</v>
      </c>
      <c r="AI76" t="s">
        <v>2415</v>
      </c>
      <c r="AJ76" t="str">
        <f t="shared" si="232"/>
        <v>N</v>
      </c>
      <c r="AK76" s="6" t="s">
        <v>2416</v>
      </c>
      <c r="AL76" s="6" t="str">
        <f t="shared" si="232"/>
        <v>N</v>
      </c>
      <c r="AM76" s="6" t="s">
        <v>2417</v>
      </c>
      <c r="AN76" s="6" t="str">
        <f t="shared" ref="AN76:AR76" si="233">IF(EXACT(AO76,O76)=TRUE,"Y","N")</f>
        <v>N</v>
      </c>
      <c r="AO76" t="s">
        <v>2418</v>
      </c>
      <c r="AP76" t="str">
        <f t="shared" si="233"/>
        <v>N</v>
      </c>
      <c r="AQ76" t="s">
        <v>2419</v>
      </c>
      <c r="AR76" t="str">
        <f t="shared" si="233"/>
        <v>N</v>
      </c>
      <c r="AS76" t="s">
        <v>2420</v>
      </c>
      <c r="AT76" t="str">
        <f t="shared" si="214"/>
        <v>N</v>
      </c>
      <c r="AU76" t="s">
        <v>2421</v>
      </c>
      <c r="AV76" t="str">
        <f t="shared" si="215"/>
        <v>N</v>
      </c>
      <c r="AW76" t="s">
        <v>2422</v>
      </c>
      <c r="AX76" t="str">
        <f t="shared" ref="AX76:BB76" si="234">IF(EXACT(AY76,Y76)=TRUE,"Y","N")</f>
        <v>N</v>
      </c>
      <c r="AY76" t="s">
        <v>2423</v>
      </c>
      <c r="AZ76" t="str">
        <f t="shared" si="234"/>
        <v>N</v>
      </c>
      <c r="BA76" t="s">
        <v>2424</v>
      </c>
      <c r="BB76" t="str">
        <f t="shared" si="234"/>
        <v>N</v>
      </c>
      <c r="BC76" t="s">
        <v>2425</v>
      </c>
    </row>
    <row r="77" spans="1:55" x14ac:dyDescent="0.4">
      <c r="A77" s="7"/>
      <c r="B77" s="7"/>
      <c r="C77" s="7"/>
      <c r="D77" s="7"/>
      <c r="E77" s="7"/>
      <c r="F77" s="7"/>
      <c r="G77" s="24"/>
      <c r="H77" s="5"/>
      <c r="I77" s="24"/>
      <c r="J77" s="5"/>
      <c r="K77" s="24"/>
      <c r="L77" s="5"/>
      <c r="M77" s="27"/>
      <c r="N77" s="5"/>
      <c r="O77" s="27"/>
      <c r="P77" s="5"/>
      <c r="Q77" s="24"/>
      <c r="R77" s="5"/>
      <c r="S77" s="24"/>
      <c r="T77" s="5"/>
      <c r="U77" s="24"/>
      <c r="V77" s="5"/>
      <c r="W77" s="24"/>
      <c r="X77" s="5"/>
      <c r="Z77" s="5"/>
      <c r="AB77" s="5"/>
      <c r="AD77" s="5"/>
      <c r="AF77" s="6" t="str">
        <f t="shared" si="211"/>
        <v>N</v>
      </c>
      <c r="AG77" s="6" t="s">
        <v>2426</v>
      </c>
      <c r="AH77" t="str">
        <f t="shared" ref="AH77:AL77" si="235">IF(EXACT(AI77,I77)=TRUE,"Y","N")</f>
        <v>N</v>
      </c>
      <c r="AI77" t="s">
        <v>2427</v>
      </c>
      <c r="AJ77" t="str">
        <f t="shared" si="235"/>
        <v>N</v>
      </c>
      <c r="AK77" s="6" t="s">
        <v>2428</v>
      </c>
      <c r="AL77" s="6" t="str">
        <f t="shared" si="235"/>
        <v>N</v>
      </c>
      <c r="AM77" s="6" t="s">
        <v>2429</v>
      </c>
      <c r="AN77" s="6" t="str">
        <f t="shared" ref="AN77:AR77" si="236">IF(EXACT(AO77,O77)=TRUE,"Y","N")</f>
        <v>N</v>
      </c>
      <c r="AO77" t="s">
        <v>2430</v>
      </c>
      <c r="AP77" t="str">
        <f t="shared" si="236"/>
        <v>N</v>
      </c>
      <c r="AQ77" t="s">
        <v>2431</v>
      </c>
      <c r="AR77" t="str">
        <f t="shared" si="236"/>
        <v>N</v>
      </c>
      <c r="AS77" t="s">
        <v>2432</v>
      </c>
      <c r="AT77" t="str">
        <f t="shared" si="214"/>
        <v>N</v>
      </c>
      <c r="AU77" t="s">
        <v>2433</v>
      </c>
      <c r="AV77" t="str">
        <f t="shared" si="215"/>
        <v>N</v>
      </c>
      <c r="AW77" t="s">
        <v>2434</v>
      </c>
      <c r="AX77" t="str">
        <f t="shared" ref="AX77:BB77" si="237">IF(EXACT(AY77,Y77)=TRUE,"Y","N")</f>
        <v>N</v>
      </c>
      <c r="AY77" t="s">
        <v>2435</v>
      </c>
      <c r="AZ77" t="str">
        <f t="shared" si="237"/>
        <v>N</v>
      </c>
      <c r="BA77" t="s">
        <v>2436</v>
      </c>
      <c r="BB77" t="str">
        <f t="shared" si="237"/>
        <v>N</v>
      </c>
      <c r="BC77" t="s">
        <v>2437</v>
      </c>
    </row>
    <row r="78" spans="1:55" x14ac:dyDescent="0.4">
      <c r="A78" s="7"/>
      <c r="B78" s="7"/>
      <c r="C78" s="7"/>
      <c r="D78" s="7"/>
      <c r="E78" s="7"/>
      <c r="F78" s="7"/>
      <c r="G78" s="24"/>
      <c r="H78" s="5"/>
      <c r="I78" s="24"/>
      <c r="J78" s="5"/>
      <c r="K78" s="24"/>
      <c r="L78" s="5"/>
      <c r="M78" s="27"/>
      <c r="N78" s="5"/>
      <c r="O78" s="27"/>
      <c r="P78" s="5"/>
      <c r="Q78" s="24"/>
      <c r="R78" s="5"/>
      <c r="S78" s="24"/>
      <c r="T78" s="5"/>
      <c r="U78" s="24"/>
      <c r="V78" s="5"/>
      <c r="W78" s="24"/>
      <c r="X78" s="5"/>
      <c r="Z78" s="5"/>
      <c r="AB78" s="5"/>
      <c r="AD78" s="5"/>
      <c r="AF78" s="6" t="str">
        <f t="shared" si="211"/>
        <v>N</v>
      </c>
      <c r="AG78" s="6" t="s">
        <v>2438</v>
      </c>
      <c r="AH78" t="str">
        <f t="shared" ref="AH78:AL78" si="238">IF(EXACT(AI78,I78)=TRUE,"Y","N")</f>
        <v>N</v>
      </c>
      <c r="AI78" t="s">
        <v>2439</v>
      </c>
      <c r="AJ78" t="str">
        <f t="shared" si="238"/>
        <v>N</v>
      </c>
      <c r="AK78" s="6" t="s">
        <v>2440</v>
      </c>
      <c r="AL78" s="6" t="str">
        <f t="shared" si="238"/>
        <v>N</v>
      </c>
      <c r="AM78" s="6" t="s">
        <v>2441</v>
      </c>
      <c r="AN78" s="6" t="str">
        <f t="shared" ref="AN78:AR78" si="239">IF(EXACT(AO78,O78)=TRUE,"Y","N")</f>
        <v>N</v>
      </c>
      <c r="AO78" t="s">
        <v>2442</v>
      </c>
      <c r="AP78" t="str">
        <f t="shared" si="239"/>
        <v>N</v>
      </c>
      <c r="AQ78" t="s">
        <v>2443</v>
      </c>
      <c r="AR78" t="str">
        <f t="shared" si="239"/>
        <v>N</v>
      </c>
      <c r="AS78" t="s">
        <v>2444</v>
      </c>
      <c r="AT78" t="str">
        <f t="shared" si="214"/>
        <v>N</v>
      </c>
      <c r="AU78" t="s">
        <v>2445</v>
      </c>
      <c r="AV78" t="str">
        <f t="shared" si="215"/>
        <v>N</v>
      </c>
      <c r="AW78" t="s">
        <v>2446</v>
      </c>
      <c r="AX78" t="str">
        <f t="shared" ref="AX78:BB78" si="240">IF(EXACT(AY78,Y78)=TRUE,"Y","N")</f>
        <v>N</v>
      </c>
      <c r="AY78" t="s">
        <v>2447</v>
      </c>
      <c r="AZ78" t="str">
        <f t="shared" si="240"/>
        <v>N</v>
      </c>
      <c r="BA78" t="s">
        <v>2448</v>
      </c>
      <c r="BB78" t="str">
        <f t="shared" si="240"/>
        <v>N</v>
      </c>
      <c r="BC78" t="s">
        <v>2449</v>
      </c>
    </row>
    <row r="79" spans="1:55" x14ac:dyDescent="0.4">
      <c r="A79" s="7"/>
      <c r="B79" s="7"/>
      <c r="C79" s="7"/>
      <c r="D79" s="7"/>
      <c r="E79" s="7"/>
      <c r="F79" s="7"/>
      <c r="G79" s="24"/>
      <c r="H79" s="5"/>
      <c r="I79" s="24"/>
      <c r="J79" s="5"/>
      <c r="K79" s="24"/>
      <c r="L79" s="5"/>
      <c r="M79" s="27"/>
      <c r="N79" s="5"/>
      <c r="O79" s="27"/>
      <c r="P79" s="5"/>
      <c r="Q79" s="24"/>
      <c r="R79" s="5"/>
      <c r="S79" s="24"/>
      <c r="T79" s="5"/>
      <c r="U79" s="24"/>
      <c r="V79" s="5"/>
      <c r="W79" s="24"/>
      <c r="X79" s="5"/>
      <c r="Z79" s="5"/>
      <c r="AB79" s="5"/>
      <c r="AD79" s="5"/>
      <c r="AF79" s="6" t="str">
        <f t="shared" si="211"/>
        <v>N</v>
      </c>
      <c r="AG79" s="6" t="s">
        <v>2450</v>
      </c>
      <c r="AH79" t="str">
        <f t="shared" ref="AH79:AL79" si="241">IF(EXACT(AI79,I79)=TRUE,"Y","N")</f>
        <v>N</v>
      </c>
      <c r="AI79" t="s">
        <v>2451</v>
      </c>
      <c r="AJ79" t="str">
        <f t="shared" si="241"/>
        <v>N</v>
      </c>
      <c r="AK79" s="6" t="s">
        <v>2452</v>
      </c>
      <c r="AL79" s="6" t="str">
        <f t="shared" si="241"/>
        <v>N</v>
      </c>
      <c r="AM79" s="6" t="s">
        <v>2453</v>
      </c>
      <c r="AN79" s="6" t="str">
        <f t="shared" ref="AN79:AR79" si="242">IF(EXACT(AO79,O79)=TRUE,"Y","N")</f>
        <v>N</v>
      </c>
      <c r="AO79" t="s">
        <v>2454</v>
      </c>
      <c r="AP79" t="str">
        <f t="shared" si="242"/>
        <v>N</v>
      </c>
      <c r="AQ79" t="s">
        <v>2455</v>
      </c>
      <c r="AR79" t="str">
        <f t="shared" si="242"/>
        <v>N</v>
      </c>
      <c r="AS79" t="s">
        <v>2456</v>
      </c>
      <c r="AT79" t="str">
        <f t="shared" si="214"/>
        <v>N</v>
      </c>
      <c r="AU79" t="s">
        <v>2457</v>
      </c>
      <c r="AV79" t="str">
        <f t="shared" si="215"/>
        <v>N</v>
      </c>
      <c r="AW79" t="s">
        <v>2458</v>
      </c>
      <c r="AX79" t="str">
        <f t="shared" ref="AX79:BB79" si="243">IF(EXACT(AY79,Y79)=TRUE,"Y","N")</f>
        <v>N</v>
      </c>
      <c r="AY79" t="s">
        <v>2459</v>
      </c>
      <c r="AZ79" t="str">
        <f t="shared" si="243"/>
        <v>N</v>
      </c>
      <c r="BA79" t="s">
        <v>2460</v>
      </c>
      <c r="BB79" t="str">
        <f t="shared" si="243"/>
        <v>N</v>
      </c>
      <c r="BC79" t="s">
        <v>2461</v>
      </c>
    </row>
    <row r="80" spans="1:55" x14ac:dyDescent="0.4">
      <c r="A80" s="7"/>
      <c r="B80" s="7"/>
      <c r="C80" s="7"/>
      <c r="D80" s="7"/>
      <c r="E80" s="7"/>
      <c r="F80" s="7"/>
      <c r="G80" s="24"/>
      <c r="H80" s="5"/>
      <c r="I80" s="24"/>
      <c r="J80" s="5"/>
      <c r="K80" s="24"/>
      <c r="L80" s="5"/>
      <c r="M80" s="27"/>
      <c r="N80" s="5"/>
      <c r="O80" s="27"/>
      <c r="P80" s="5"/>
      <c r="Q80" s="24"/>
      <c r="R80" s="5"/>
      <c r="S80" s="24"/>
      <c r="T80" s="5"/>
      <c r="U80" s="24"/>
      <c r="V80" s="5"/>
      <c r="W80" s="24"/>
      <c r="X80" s="5"/>
      <c r="Z80" s="5"/>
      <c r="AB80" s="5"/>
      <c r="AD80" s="5"/>
      <c r="AF80" s="6" t="str">
        <f t="shared" si="211"/>
        <v>N</v>
      </c>
      <c r="AG80" s="6" t="s">
        <v>2462</v>
      </c>
      <c r="AH80" t="str">
        <f t="shared" ref="AH80:AL80" si="244">IF(EXACT(AI80,I80)=TRUE,"Y","N")</f>
        <v>N</v>
      </c>
      <c r="AI80" t="s">
        <v>2463</v>
      </c>
      <c r="AJ80" t="str">
        <f t="shared" si="244"/>
        <v>N</v>
      </c>
      <c r="AK80" s="6" t="s">
        <v>2464</v>
      </c>
      <c r="AL80" s="6" t="str">
        <f t="shared" si="244"/>
        <v>N</v>
      </c>
      <c r="AM80" s="6" t="s">
        <v>2465</v>
      </c>
      <c r="AN80" s="6" t="str">
        <f t="shared" ref="AN80:AR80" si="245">IF(EXACT(AO80,O80)=TRUE,"Y","N")</f>
        <v>N</v>
      </c>
      <c r="AO80" t="s">
        <v>2466</v>
      </c>
      <c r="AP80" t="str">
        <f t="shared" si="245"/>
        <v>N</v>
      </c>
      <c r="AQ80" t="s">
        <v>2467</v>
      </c>
      <c r="AR80" t="str">
        <f t="shared" si="245"/>
        <v>N</v>
      </c>
      <c r="AS80" t="s">
        <v>2468</v>
      </c>
      <c r="AT80" t="str">
        <f t="shared" si="214"/>
        <v>N</v>
      </c>
      <c r="AU80" t="s">
        <v>2469</v>
      </c>
      <c r="AV80" t="str">
        <f t="shared" si="215"/>
        <v>N</v>
      </c>
      <c r="AW80" t="s">
        <v>2470</v>
      </c>
      <c r="AX80" t="str">
        <f t="shared" ref="AX80:BB80" si="246">IF(EXACT(AY80,Y80)=TRUE,"Y","N")</f>
        <v>N</v>
      </c>
      <c r="AY80" t="s">
        <v>2471</v>
      </c>
      <c r="AZ80" t="str">
        <f t="shared" si="246"/>
        <v>N</v>
      </c>
      <c r="BA80" t="s">
        <v>2472</v>
      </c>
      <c r="BB80" t="str">
        <f t="shared" si="246"/>
        <v>N</v>
      </c>
      <c r="BC80" t="s">
        <v>2473</v>
      </c>
    </row>
    <row r="81" spans="1:55" x14ac:dyDescent="0.4">
      <c r="A81" s="7"/>
      <c r="B81" s="7"/>
      <c r="C81" s="7"/>
      <c r="D81" s="7"/>
      <c r="E81" s="7"/>
      <c r="F81" s="7"/>
      <c r="G81" s="24"/>
      <c r="H81" s="5"/>
      <c r="I81" s="24"/>
      <c r="J81" s="5"/>
      <c r="K81" s="24"/>
      <c r="L81" s="5"/>
      <c r="M81" s="27"/>
      <c r="N81" s="5"/>
      <c r="O81" s="27"/>
      <c r="P81" s="5"/>
      <c r="Q81" s="24"/>
      <c r="R81" s="5"/>
      <c r="S81" s="24"/>
      <c r="T81" s="5"/>
      <c r="U81" s="24"/>
      <c r="V81" s="5"/>
      <c r="W81" s="24"/>
      <c r="X81" s="5"/>
      <c r="Z81" s="5"/>
      <c r="AB81" s="5"/>
      <c r="AD81" s="5"/>
      <c r="AF81" s="6" t="str">
        <f t="shared" si="211"/>
        <v>N</v>
      </c>
      <c r="AG81" s="6" t="s">
        <v>2474</v>
      </c>
      <c r="AH81" t="str">
        <f t="shared" ref="AH81:AL81" si="247">IF(EXACT(AI81,I81)=TRUE,"Y","N")</f>
        <v>N</v>
      </c>
      <c r="AI81" t="s">
        <v>2475</v>
      </c>
      <c r="AJ81" t="str">
        <f t="shared" si="247"/>
        <v>N</v>
      </c>
      <c r="AK81" s="6" t="s">
        <v>2476</v>
      </c>
      <c r="AL81" s="6" t="str">
        <f t="shared" si="247"/>
        <v>N</v>
      </c>
      <c r="AM81" s="6" t="s">
        <v>2477</v>
      </c>
      <c r="AN81" s="6" t="str">
        <f t="shared" ref="AN81:AR81" si="248">IF(EXACT(AO81,O81)=TRUE,"Y","N")</f>
        <v>N</v>
      </c>
      <c r="AO81" t="s">
        <v>2478</v>
      </c>
      <c r="AP81" t="str">
        <f t="shared" si="248"/>
        <v>N</v>
      </c>
      <c r="AQ81" t="s">
        <v>2479</v>
      </c>
      <c r="AR81" t="str">
        <f t="shared" si="248"/>
        <v>N</v>
      </c>
      <c r="AS81" t="s">
        <v>2480</v>
      </c>
      <c r="AT81" t="str">
        <f t="shared" si="214"/>
        <v>N</v>
      </c>
      <c r="AU81" t="s">
        <v>2481</v>
      </c>
      <c r="AV81" t="str">
        <f t="shared" si="215"/>
        <v>N</v>
      </c>
      <c r="AW81" t="s">
        <v>2482</v>
      </c>
      <c r="AX81" t="str">
        <f t="shared" ref="AX81:BB81" si="249">IF(EXACT(AY81,Y81)=TRUE,"Y","N")</f>
        <v>N</v>
      </c>
      <c r="AY81" t="s">
        <v>2483</v>
      </c>
      <c r="AZ81" t="str">
        <f t="shared" si="249"/>
        <v>N</v>
      </c>
      <c r="BA81" t="s">
        <v>2484</v>
      </c>
      <c r="BB81" t="str">
        <f t="shared" si="249"/>
        <v>N</v>
      </c>
      <c r="BC81" t="s">
        <v>5747</v>
      </c>
    </row>
    <row r="82" spans="1:55" x14ac:dyDescent="0.4">
      <c r="A82" s="7"/>
      <c r="B82" s="7"/>
      <c r="C82" s="7"/>
      <c r="D82" s="7"/>
      <c r="E82" s="7"/>
      <c r="F82" s="7"/>
      <c r="G82" s="24"/>
      <c r="H82" s="5"/>
      <c r="I82" s="24"/>
      <c r="J82" s="5"/>
      <c r="K82" s="24"/>
      <c r="L82" s="5"/>
      <c r="M82" s="27"/>
      <c r="N82" s="5"/>
      <c r="O82" s="27"/>
      <c r="P82" s="5"/>
      <c r="Q82" s="24"/>
      <c r="R82" s="5"/>
      <c r="S82" s="24"/>
      <c r="T82" s="5"/>
      <c r="U82" s="24"/>
      <c r="V82" s="5"/>
      <c r="W82" s="24"/>
      <c r="X82" s="5"/>
      <c r="Z82" s="5"/>
      <c r="AB82" s="5"/>
      <c r="AD82" s="5"/>
      <c r="AF82" s="6" t="str">
        <f t="shared" si="211"/>
        <v>N</v>
      </c>
      <c r="AG82" s="6" t="s">
        <v>2485</v>
      </c>
      <c r="AH82" t="str">
        <f t="shared" ref="AH82:AL82" si="250">IF(EXACT(AI82,I82)=TRUE,"Y","N")</f>
        <v>N</v>
      </c>
      <c r="AI82" t="s">
        <v>2486</v>
      </c>
      <c r="AJ82" t="str">
        <f t="shared" si="250"/>
        <v>N</v>
      </c>
      <c r="AK82" s="6" t="s">
        <v>2487</v>
      </c>
      <c r="AL82" s="6" t="str">
        <f t="shared" si="250"/>
        <v>N</v>
      </c>
      <c r="AM82" s="6" t="s">
        <v>2488</v>
      </c>
      <c r="AN82" s="6" t="str">
        <f t="shared" ref="AN82:AR82" si="251">IF(EXACT(AO82,O82)=TRUE,"Y","N")</f>
        <v>N</v>
      </c>
      <c r="AO82" t="s">
        <v>2489</v>
      </c>
      <c r="AP82" t="str">
        <f t="shared" si="251"/>
        <v>N</v>
      </c>
      <c r="AQ82" t="s">
        <v>2490</v>
      </c>
      <c r="AR82" t="str">
        <f t="shared" si="251"/>
        <v>N</v>
      </c>
      <c r="AS82" t="s">
        <v>2491</v>
      </c>
      <c r="AT82" t="str">
        <f t="shared" si="214"/>
        <v>N</v>
      </c>
      <c r="AU82" t="s">
        <v>2492</v>
      </c>
      <c r="AV82" t="str">
        <f t="shared" si="215"/>
        <v>N</v>
      </c>
      <c r="AW82" t="s">
        <v>2493</v>
      </c>
      <c r="AX82" t="str">
        <f t="shared" ref="AX82:BB82" si="252">IF(EXACT(AY82,Y82)=TRUE,"Y","N")</f>
        <v>N</v>
      </c>
      <c r="AY82" t="s">
        <v>2494</v>
      </c>
      <c r="AZ82" t="str">
        <f t="shared" si="252"/>
        <v>N</v>
      </c>
      <c r="BA82" t="s">
        <v>2495</v>
      </c>
      <c r="BB82" t="str">
        <f t="shared" si="252"/>
        <v>N</v>
      </c>
      <c r="BC82" t="s">
        <v>2496</v>
      </c>
    </row>
    <row r="83" spans="1:55" x14ac:dyDescent="0.4">
      <c r="A83" s="7"/>
      <c r="B83" s="7"/>
      <c r="C83" s="7"/>
      <c r="D83" s="7"/>
      <c r="E83" s="7"/>
      <c r="F83" s="7"/>
      <c r="G83" s="24"/>
      <c r="H83" s="5"/>
      <c r="I83" s="24"/>
      <c r="J83" s="5"/>
      <c r="K83" s="24"/>
      <c r="L83" s="5"/>
      <c r="M83" s="27"/>
      <c r="N83" s="5"/>
      <c r="O83" s="27"/>
      <c r="P83" s="5"/>
      <c r="Q83" s="24"/>
      <c r="R83" s="5"/>
      <c r="S83" s="24"/>
      <c r="T83" s="5"/>
      <c r="U83" s="24"/>
      <c r="V83" s="5"/>
      <c r="W83" s="24"/>
      <c r="X83" s="5"/>
      <c r="Z83" s="5"/>
      <c r="AB83" s="5"/>
      <c r="AD83" s="5"/>
      <c r="AF83" s="6" t="str">
        <f t="shared" si="211"/>
        <v>N</v>
      </c>
      <c r="AG83" s="6" t="s">
        <v>2497</v>
      </c>
      <c r="AH83" t="str">
        <f t="shared" ref="AH83:AL83" si="253">IF(EXACT(AI83,I83)=TRUE,"Y","N")</f>
        <v>N</v>
      </c>
      <c r="AI83" t="s">
        <v>2498</v>
      </c>
      <c r="AJ83" t="str">
        <f t="shared" si="253"/>
        <v>N</v>
      </c>
      <c r="AK83" s="6" t="s">
        <v>2499</v>
      </c>
      <c r="AL83" s="6" t="str">
        <f t="shared" si="253"/>
        <v>N</v>
      </c>
      <c r="AM83" s="6" t="s">
        <v>2500</v>
      </c>
      <c r="AN83" s="6" t="str">
        <f t="shared" ref="AN83:AR83" si="254">IF(EXACT(AO83,O83)=TRUE,"Y","N")</f>
        <v>N</v>
      </c>
      <c r="AO83" t="s">
        <v>2501</v>
      </c>
      <c r="AP83" t="str">
        <f t="shared" si="254"/>
        <v>N</v>
      </c>
      <c r="AQ83" t="s">
        <v>598</v>
      </c>
      <c r="AR83" t="str">
        <f t="shared" si="254"/>
        <v>N</v>
      </c>
      <c r="AS83" t="s">
        <v>2502</v>
      </c>
      <c r="AT83" t="str">
        <f t="shared" si="214"/>
        <v>N</v>
      </c>
      <c r="AU83" t="s">
        <v>2503</v>
      </c>
      <c r="AV83" t="str">
        <f t="shared" si="215"/>
        <v>N</v>
      </c>
      <c r="AW83" t="s">
        <v>2504</v>
      </c>
      <c r="AX83" t="str">
        <f t="shared" ref="AX83:BB83" si="255">IF(EXACT(AY83,Y83)=TRUE,"Y","N")</f>
        <v>N</v>
      </c>
      <c r="AY83" t="s">
        <v>2505</v>
      </c>
      <c r="AZ83" t="str">
        <f t="shared" si="255"/>
        <v>N</v>
      </c>
      <c r="BA83" t="s">
        <v>2506</v>
      </c>
      <c r="BB83" t="str">
        <f t="shared" si="255"/>
        <v>N</v>
      </c>
      <c r="BC83" t="s">
        <v>1324</v>
      </c>
    </row>
    <row r="84" spans="1:55" x14ac:dyDescent="0.4">
      <c r="A84" s="7"/>
      <c r="B84" s="7"/>
      <c r="C84" s="7"/>
      <c r="D84" s="7"/>
      <c r="E84" s="7"/>
      <c r="F84" s="7"/>
      <c r="G84" s="24"/>
      <c r="H84" s="5"/>
      <c r="I84" s="24"/>
      <c r="J84" s="5"/>
      <c r="K84" s="24"/>
      <c r="L84" s="5"/>
      <c r="M84" s="27"/>
      <c r="N84" s="5"/>
      <c r="O84" s="27"/>
      <c r="P84" s="5"/>
      <c r="Q84" s="24"/>
      <c r="R84" s="5"/>
      <c r="S84" s="24"/>
      <c r="T84" s="5"/>
      <c r="U84" s="24"/>
      <c r="V84" s="5"/>
      <c r="W84" s="24"/>
      <c r="X84" s="5"/>
      <c r="Z84" s="5"/>
      <c r="AB84" s="5"/>
      <c r="AD84" s="5"/>
      <c r="AF84" s="6" t="str">
        <f t="shared" si="211"/>
        <v>N</v>
      </c>
      <c r="AG84" s="6" t="s">
        <v>2507</v>
      </c>
      <c r="AH84" t="str">
        <f t="shared" ref="AH84:AL84" si="256">IF(EXACT(AI84,I84)=TRUE,"Y","N")</f>
        <v>N</v>
      </c>
      <c r="AI84" t="s">
        <v>2508</v>
      </c>
      <c r="AJ84" t="str">
        <f t="shared" si="256"/>
        <v>N</v>
      </c>
      <c r="AK84" s="6" t="s">
        <v>2509</v>
      </c>
      <c r="AL84" s="6" t="str">
        <f t="shared" si="256"/>
        <v>N</v>
      </c>
      <c r="AM84" s="6" t="s">
        <v>2510</v>
      </c>
      <c r="AN84" s="6" t="str">
        <f t="shared" ref="AN84:AR84" si="257">IF(EXACT(AO84,O84)=TRUE,"Y","N")</f>
        <v>N</v>
      </c>
      <c r="AO84" t="s">
        <v>2511</v>
      </c>
      <c r="AP84" t="str">
        <f t="shared" si="257"/>
        <v>N</v>
      </c>
      <c r="AQ84" t="s">
        <v>2512</v>
      </c>
      <c r="AR84" t="str">
        <f t="shared" si="257"/>
        <v>N</v>
      </c>
      <c r="AS84" t="s">
        <v>2513</v>
      </c>
      <c r="AT84" t="str">
        <f t="shared" si="214"/>
        <v>N</v>
      </c>
      <c r="AU84" t="s">
        <v>2514</v>
      </c>
      <c r="AV84" t="str">
        <f t="shared" si="215"/>
        <v>N</v>
      </c>
      <c r="AW84" t="s">
        <v>2515</v>
      </c>
      <c r="AX84" t="str">
        <f t="shared" ref="AX84:BB84" si="258">IF(EXACT(AY84,Y84)=TRUE,"Y","N")</f>
        <v>N</v>
      </c>
      <c r="AY84" t="s">
        <v>2516</v>
      </c>
      <c r="AZ84" t="str">
        <f t="shared" si="258"/>
        <v>N</v>
      </c>
      <c r="BA84" t="s">
        <v>2517</v>
      </c>
      <c r="BB84" t="str">
        <f t="shared" si="258"/>
        <v>N</v>
      </c>
      <c r="BC84" t="s">
        <v>2518</v>
      </c>
    </row>
    <row r="85" spans="1:55" x14ac:dyDescent="0.4">
      <c r="A85" s="7"/>
      <c r="B85" s="7"/>
      <c r="C85" s="7"/>
      <c r="D85" s="7"/>
      <c r="E85" s="7"/>
      <c r="F85" s="7"/>
      <c r="G85" s="24"/>
      <c r="H85" s="5"/>
      <c r="I85" s="24"/>
      <c r="J85" s="5"/>
      <c r="K85" s="24"/>
      <c r="L85" s="5"/>
      <c r="M85" s="27"/>
      <c r="N85" s="5"/>
      <c r="O85" s="27"/>
      <c r="P85" s="5"/>
      <c r="Q85" s="24"/>
      <c r="R85" s="5"/>
      <c r="S85" s="24"/>
      <c r="T85" s="5"/>
      <c r="U85" s="24"/>
      <c r="V85" s="5"/>
      <c r="W85" s="24"/>
      <c r="X85" s="5"/>
      <c r="Z85" s="5"/>
      <c r="AB85" s="5"/>
      <c r="AD85" s="5"/>
      <c r="AF85" s="6" t="str">
        <f t="shared" si="211"/>
        <v>N</v>
      </c>
      <c r="AG85" s="6" t="s">
        <v>2519</v>
      </c>
      <c r="AH85" t="str">
        <f t="shared" ref="AH85:AL85" si="259">IF(EXACT(AI85,I85)=TRUE,"Y","N")</f>
        <v>N</v>
      </c>
      <c r="AI85" t="s">
        <v>2520</v>
      </c>
      <c r="AJ85" t="str">
        <f t="shared" si="259"/>
        <v>N</v>
      </c>
      <c r="AK85" s="6" t="s">
        <v>2521</v>
      </c>
      <c r="AL85" s="6" t="str">
        <f t="shared" si="259"/>
        <v>N</v>
      </c>
      <c r="AM85" s="6" t="s">
        <v>2522</v>
      </c>
      <c r="AN85" s="6" t="str">
        <f t="shared" ref="AN85:AR85" si="260">IF(EXACT(AO85,O85)=TRUE,"Y","N")</f>
        <v>N</v>
      </c>
      <c r="AO85" t="s">
        <v>2523</v>
      </c>
      <c r="AP85" t="str">
        <f t="shared" si="260"/>
        <v>N</v>
      </c>
      <c r="AQ85" t="s">
        <v>2524</v>
      </c>
      <c r="AR85" t="str">
        <f t="shared" si="260"/>
        <v>N</v>
      </c>
      <c r="AS85" t="s">
        <v>2525</v>
      </c>
      <c r="AT85" t="str">
        <f t="shared" si="214"/>
        <v>N</v>
      </c>
      <c r="AU85" t="s">
        <v>2526</v>
      </c>
      <c r="AV85" t="str">
        <f t="shared" si="215"/>
        <v>N</v>
      </c>
      <c r="AW85" t="s">
        <v>2527</v>
      </c>
      <c r="AX85" t="str">
        <f t="shared" ref="AX85:BB85" si="261">IF(EXACT(AY85,Y85)=TRUE,"Y","N")</f>
        <v>N</v>
      </c>
      <c r="AY85" t="s">
        <v>2528</v>
      </c>
      <c r="AZ85" t="str">
        <f t="shared" si="261"/>
        <v>N</v>
      </c>
      <c r="BA85" t="s">
        <v>2529</v>
      </c>
      <c r="BB85" t="str">
        <f t="shared" si="261"/>
        <v>N</v>
      </c>
      <c r="BC85" t="s">
        <v>2530</v>
      </c>
    </row>
    <row r="86" spans="1:55" x14ac:dyDescent="0.4">
      <c r="A86" s="7"/>
      <c r="B86" s="7"/>
      <c r="C86" s="7"/>
      <c r="D86" s="7"/>
      <c r="E86" s="7"/>
      <c r="F86" s="7"/>
      <c r="G86" s="24"/>
      <c r="H86" s="5"/>
      <c r="I86" s="24"/>
      <c r="J86" s="5"/>
      <c r="K86" s="24"/>
      <c r="L86" s="5"/>
      <c r="M86" s="27"/>
      <c r="N86" s="5"/>
      <c r="O86" s="27"/>
      <c r="P86" s="5"/>
      <c r="Q86" s="24"/>
      <c r="R86" s="5"/>
      <c r="S86" s="24"/>
      <c r="T86" s="5"/>
      <c r="U86" s="24"/>
      <c r="V86" s="5"/>
      <c r="W86" s="24"/>
      <c r="X86" s="5"/>
      <c r="Z86" s="5"/>
      <c r="AB86" s="5"/>
      <c r="AD86" s="5"/>
      <c r="AF86" s="6" t="str">
        <f t="shared" si="211"/>
        <v>N</v>
      </c>
      <c r="AG86" s="6" t="s">
        <v>2531</v>
      </c>
      <c r="AH86" t="str">
        <f t="shared" ref="AH86:AL86" si="262">IF(EXACT(AI86,I86)=TRUE,"Y","N")</f>
        <v>N</v>
      </c>
      <c r="AI86" t="s">
        <v>2532</v>
      </c>
      <c r="AJ86" t="str">
        <f t="shared" si="262"/>
        <v>N</v>
      </c>
      <c r="AK86" s="6" t="s">
        <v>2533</v>
      </c>
      <c r="AL86" s="6" t="str">
        <f t="shared" si="262"/>
        <v>N</v>
      </c>
      <c r="AM86" s="6" t="s">
        <v>2534</v>
      </c>
      <c r="AN86" s="6" t="str">
        <f t="shared" ref="AN86:AR86" si="263">IF(EXACT(AO86,O86)=TRUE,"Y","N")</f>
        <v>N</v>
      </c>
      <c r="AO86" t="s">
        <v>2535</v>
      </c>
      <c r="AP86" t="str">
        <f t="shared" si="263"/>
        <v>N</v>
      </c>
      <c r="AQ86" t="s">
        <v>2536</v>
      </c>
      <c r="AR86" t="str">
        <f t="shared" si="263"/>
        <v>N</v>
      </c>
      <c r="AS86" t="s">
        <v>2537</v>
      </c>
      <c r="AT86" t="str">
        <f t="shared" si="214"/>
        <v>N</v>
      </c>
      <c r="AU86" t="s">
        <v>2538</v>
      </c>
      <c r="AV86" t="str">
        <f t="shared" si="215"/>
        <v>N</v>
      </c>
      <c r="AW86" t="s">
        <v>2539</v>
      </c>
      <c r="AX86" t="str">
        <f t="shared" ref="AX86:BB86" si="264">IF(EXACT(AY86,Y86)=TRUE,"Y","N")</f>
        <v>N</v>
      </c>
      <c r="AY86" t="s">
        <v>2540</v>
      </c>
      <c r="AZ86" t="str">
        <f t="shared" si="264"/>
        <v>N</v>
      </c>
      <c r="BA86" t="s">
        <v>2541</v>
      </c>
      <c r="BB86" t="str">
        <f t="shared" si="264"/>
        <v>N</v>
      </c>
      <c r="BC86" t="s">
        <v>2542</v>
      </c>
    </row>
    <row r="87" spans="1:55" x14ac:dyDescent="0.4">
      <c r="A87" s="7"/>
      <c r="B87" s="7"/>
      <c r="C87" s="7"/>
      <c r="D87" s="7"/>
      <c r="E87" s="7"/>
      <c r="F87" s="7"/>
      <c r="G87" s="24"/>
      <c r="H87" s="5"/>
      <c r="I87" s="24"/>
      <c r="J87" s="5"/>
      <c r="K87" s="24"/>
      <c r="L87" s="5"/>
      <c r="M87" s="27"/>
      <c r="N87" s="5"/>
      <c r="O87" s="27"/>
      <c r="P87" s="5"/>
      <c r="Q87" s="24"/>
      <c r="R87" s="5"/>
      <c r="S87" s="24"/>
      <c r="T87" s="5"/>
      <c r="U87" s="24"/>
      <c r="V87" s="5"/>
      <c r="W87" s="24"/>
      <c r="X87" s="5"/>
      <c r="Z87" s="5"/>
      <c r="AB87" s="5"/>
      <c r="AD87" s="5"/>
      <c r="AF87" s="6" t="str">
        <f t="shared" si="211"/>
        <v>N</v>
      </c>
      <c r="AG87" s="6" t="s">
        <v>2543</v>
      </c>
      <c r="AH87" t="str">
        <f t="shared" ref="AH87:AL87" si="265">IF(EXACT(AI87,I87)=TRUE,"Y","N")</f>
        <v>N</v>
      </c>
      <c r="AI87" t="s">
        <v>2544</v>
      </c>
      <c r="AJ87" t="str">
        <f t="shared" si="265"/>
        <v>N</v>
      </c>
      <c r="AK87" s="6" t="s">
        <v>2545</v>
      </c>
      <c r="AL87" s="6" t="str">
        <f t="shared" si="265"/>
        <v>N</v>
      </c>
      <c r="AM87" s="6" t="s">
        <v>2546</v>
      </c>
      <c r="AN87" s="6" t="str">
        <f t="shared" ref="AN87:AR87" si="266">IF(EXACT(AO87,O87)=TRUE,"Y","N")</f>
        <v>N</v>
      </c>
      <c r="AO87" t="s">
        <v>2547</v>
      </c>
      <c r="AP87" t="str">
        <f t="shared" si="266"/>
        <v>N</v>
      </c>
      <c r="AQ87" t="s">
        <v>2548</v>
      </c>
      <c r="AR87" t="str">
        <f t="shared" si="266"/>
        <v>N</v>
      </c>
      <c r="AS87" t="s">
        <v>2549</v>
      </c>
      <c r="AT87" t="str">
        <f t="shared" si="214"/>
        <v>N</v>
      </c>
      <c r="AU87" t="s">
        <v>2550</v>
      </c>
      <c r="AV87" t="str">
        <f t="shared" si="215"/>
        <v>N</v>
      </c>
      <c r="AW87" t="s">
        <v>2551</v>
      </c>
      <c r="AX87" t="str">
        <f t="shared" ref="AX87:BB87" si="267">IF(EXACT(AY87,Y87)=TRUE,"Y","N")</f>
        <v>N</v>
      </c>
      <c r="AY87" t="s">
        <v>2552</v>
      </c>
      <c r="AZ87" t="str">
        <f t="shared" si="267"/>
        <v>N</v>
      </c>
      <c r="BA87" t="s">
        <v>2553</v>
      </c>
      <c r="BB87" t="str">
        <f t="shared" si="267"/>
        <v>N</v>
      </c>
      <c r="BC87" t="s">
        <v>2554</v>
      </c>
    </row>
    <row r="88" spans="1:55" x14ac:dyDescent="0.4">
      <c r="A88" s="7"/>
      <c r="B88" s="7"/>
      <c r="C88" s="7"/>
      <c r="D88" s="7"/>
      <c r="E88" s="7"/>
      <c r="F88" s="7"/>
      <c r="G88" s="24"/>
      <c r="H88" s="5"/>
      <c r="I88" s="24"/>
      <c r="J88" s="5"/>
      <c r="K88" s="24"/>
      <c r="L88" s="5"/>
      <c r="M88" s="27"/>
      <c r="N88" s="5"/>
      <c r="O88" s="27"/>
      <c r="P88" s="5"/>
      <c r="Q88" s="24"/>
      <c r="R88" s="5"/>
      <c r="S88" s="24"/>
      <c r="T88" s="5"/>
      <c r="U88" s="24"/>
      <c r="V88" s="5"/>
      <c r="W88" s="24"/>
      <c r="X88" s="5"/>
      <c r="Z88" s="5"/>
      <c r="AB88" s="5"/>
      <c r="AD88" s="5"/>
      <c r="AF88" s="6" t="str">
        <f t="shared" si="211"/>
        <v>N</v>
      </c>
      <c r="AG88" s="6" t="s">
        <v>2555</v>
      </c>
      <c r="AH88" t="str">
        <f t="shared" ref="AH88:AL88" si="268">IF(EXACT(AI88,I88)=TRUE,"Y","N")</f>
        <v>N</v>
      </c>
      <c r="AI88" t="s">
        <v>2556</v>
      </c>
      <c r="AJ88" t="str">
        <f t="shared" si="268"/>
        <v>N</v>
      </c>
      <c r="AK88" s="6" t="s">
        <v>2557</v>
      </c>
      <c r="AL88" s="6" t="str">
        <f t="shared" si="268"/>
        <v>N</v>
      </c>
      <c r="AM88" s="6" t="s">
        <v>2558</v>
      </c>
      <c r="AN88" s="6" t="str">
        <f t="shared" ref="AN88:AR88" si="269">IF(EXACT(AO88,O88)=TRUE,"Y","N")</f>
        <v>N</v>
      </c>
      <c r="AO88" t="s">
        <v>2559</v>
      </c>
      <c r="AP88" t="str">
        <f t="shared" si="269"/>
        <v>N</v>
      </c>
      <c r="AQ88" t="s">
        <v>2560</v>
      </c>
      <c r="AR88" t="str">
        <f t="shared" si="269"/>
        <v>N</v>
      </c>
      <c r="AS88" t="s">
        <v>2561</v>
      </c>
      <c r="AT88" t="str">
        <f t="shared" si="214"/>
        <v>N</v>
      </c>
      <c r="AU88" t="s">
        <v>2562</v>
      </c>
      <c r="AV88" t="str">
        <f t="shared" si="215"/>
        <v>N</v>
      </c>
      <c r="AW88" t="s">
        <v>2563</v>
      </c>
      <c r="AX88" t="str">
        <f t="shared" ref="AX88:BB88" si="270">IF(EXACT(AY88,Y88)=TRUE,"Y","N")</f>
        <v>N</v>
      </c>
      <c r="AY88" t="s">
        <v>2564</v>
      </c>
      <c r="AZ88" t="str">
        <f t="shared" si="270"/>
        <v>N</v>
      </c>
      <c r="BA88" t="s">
        <v>2565</v>
      </c>
      <c r="BB88" t="str">
        <f t="shared" si="270"/>
        <v>N</v>
      </c>
      <c r="BC88" t="s">
        <v>2566</v>
      </c>
    </row>
    <row r="89" spans="1:55" x14ac:dyDescent="0.4">
      <c r="A89" s="7"/>
      <c r="B89" s="7"/>
      <c r="C89" s="7"/>
      <c r="D89" s="7"/>
      <c r="E89" s="7"/>
      <c r="F89" s="7"/>
      <c r="G89" s="24"/>
      <c r="H89" s="5"/>
      <c r="I89" s="24"/>
      <c r="J89" s="5"/>
      <c r="K89" s="24"/>
      <c r="L89" s="5"/>
      <c r="M89" s="27"/>
      <c r="N89" s="5"/>
      <c r="O89" s="27"/>
      <c r="P89" s="5"/>
      <c r="Q89" s="24"/>
      <c r="R89" s="5"/>
      <c r="S89" s="24"/>
      <c r="T89" s="5"/>
      <c r="U89" s="24"/>
      <c r="V89" s="5"/>
      <c r="W89" s="24"/>
      <c r="X89" s="5"/>
      <c r="Z89" s="5"/>
      <c r="AB89" s="5"/>
      <c r="AD89" s="5"/>
      <c r="AF89" s="6" t="str">
        <f t="shared" si="211"/>
        <v>N</v>
      </c>
      <c r="AG89" s="6" t="s">
        <v>2567</v>
      </c>
      <c r="AH89" t="str">
        <f t="shared" ref="AH89:AL89" si="271">IF(EXACT(AI89,I89)=TRUE,"Y","N")</f>
        <v>N</v>
      </c>
      <c r="AI89" t="s">
        <v>2568</v>
      </c>
      <c r="AJ89" t="str">
        <f t="shared" si="271"/>
        <v>N</v>
      </c>
      <c r="AK89" s="6" t="s">
        <v>2569</v>
      </c>
      <c r="AL89" s="6" t="str">
        <f t="shared" si="271"/>
        <v>N</v>
      </c>
      <c r="AM89" s="6" t="s">
        <v>2570</v>
      </c>
      <c r="AN89" s="6" t="str">
        <f t="shared" ref="AN89:AR89" si="272">IF(EXACT(AO89,O89)=TRUE,"Y","N")</f>
        <v>N</v>
      </c>
      <c r="AO89" t="s">
        <v>2571</v>
      </c>
      <c r="AP89" t="str">
        <f t="shared" si="272"/>
        <v>N</v>
      </c>
      <c r="AQ89" t="s">
        <v>2572</v>
      </c>
      <c r="AR89" t="str">
        <f t="shared" si="272"/>
        <v>N</v>
      </c>
      <c r="AS89" t="s">
        <v>2573</v>
      </c>
      <c r="AT89" t="str">
        <f t="shared" si="214"/>
        <v>N</v>
      </c>
      <c r="AU89" t="s">
        <v>2574</v>
      </c>
      <c r="AV89" t="str">
        <f t="shared" si="215"/>
        <v>N</v>
      </c>
      <c r="AW89" t="s">
        <v>2575</v>
      </c>
      <c r="AX89" t="str">
        <f t="shared" ref="AX89:BB89" si="273">IF(EXACT(AY89,Y89)=TRUE,"Y","N")</f>
        <v>N</v>
      </c>
      <c r="AY89" t="s">
        <v>2576</v>
      </c>
      <c r="AZ89" t="str">
        <f t="shared" si="273"/>
        <v>N</v>
      </c>
      <c r="BA89" t="s">
        <v>2577</v>
      </c>
      <c r="BB89" t="str">
        <f t="shared" si="273"/>
        <v>N</v>
      </c>
      <c r="BC89" t="s">
        <v>2578</v>
      </c>
    </row>
    <row r="90" spans="1:55" x14ac:dyDescent="0.4">
      <c r="A90" s="7"/>
      <c r="B90" s="7"/>
      <c r="C90" s="7"/>
      <c r="D90" s="7"/>
      <c r="E90" s="7"/>
      <c r="F90" s="7"/>
      <c r="G90" s="24"/>
      <c r="H90" s="5"/>
      <c r="I90" s="24"/>
      <c r="J90" s="5"/>
      <c r="K90" s="24"/>
      <c r="L90" s="5"/>
      <c r="M90" s="27"/>
      <c r="N90" s="5"/>
      <c r="O90" s="27"/>
      <c r="P90" s="5"/>
      <c r="Q90" s="24"/>
      <c r="R90" s="5"/>
      <c r="S90" s="24"/>
      <c r="T90" s="5"/>
      <c r="U90" s="24"/>
      <c r="V90" s="5"/>
      <c r="W90" s="24"/>
      <c r="X90" s="5"/>
      <c r="Z90" s="5"/>
      <c r="AB90" s="5"/>
      <c r="AD90" s="5"/>
      <c r="AF90" s="6" t="str">
        <f t="shared" si="211"/>
        <v>N</v>
      </c>
      <c r="AG90" s="6" t="s">
        <v>2579</v>
      </c>
      <c r="AH90" t="str">
        <f t="shared" ref="AH90:AL90" si="274">IF(EXACT(AI90,I90)=TRUE,"Y","N")</f>
        <v>N</v>
      </c>
      <c r="AI90" t="s">
        <v>2580</v>
      </c>
      <c r="AJ90" t="str">
        <f t="shared" si="274"/>
        <v>N</v>
      </c>
      <c r="AK90" s="6" t="s">
        <v>2581</v>
      </c>
      <c r="AL90" s="6" t="str">
        <f t="shared" si="274"/>
        <v>N</v>
      </c>
      <c r="AM90" s="6" t="s">
        <v>2582</v>
      </c>
      <c r="AN90" s="6" t="str">
        <f t="shared" ref="AN90:AR90" si="275">IF(EXACT(AO90,O90)=TRUE,"Y","N")</f>
        <v>N</v>
      </c>
      <c r="AO90" t="s">
        <v>2583</v>
      </c>
      <c r="AP90" t="str">
        <f t="shared" si="275"/>
        <v>N</v>
      </c>
      <c r="AQ90" t="s">
        <v>2584</v>
      </c>
      <c r="AR90" t="str">
        <f t="shared" si="275"/>
        <v>N</v>
      </c>
      <c r="AS90" t="s">
        <v>2585</v>
      </c>
      <c r="AT90" t="str">
        <f t="shared" si="214"/>
        <v>N</v>
      </c>
      <c r="AU90" t="s">
        <v>2586</v>
      </c>
      <c r="AV90" t="str">
        <f t="shared" si="215"/>
        <v>N</v>
      </c>
      <c r="AW90" t="s">
        <v>2587</v>
      </c>
      <c r="AX90" t="str">
        <f t="shared" ref="AX90:BB90" si="276">IF(EXACT(AY90,Y90)=TRUE,"Y","N")</f>
        <v>N</v>
      </c>
      <c r="AY90" t="s">
        <v>2588</v>
      </c>
      <c r="AZ90" t="str">
        <f t="shared" si="276"/>
        <v>N</v>
      </c>
      <c r="BA90" t="s">
        <v>2589</v>
      </c>
      <c r="BB90" t="str">
        <f t="shared" si="276"/>
        <v>N</v>
      </c>
      <c r="BC90" t="s">
        <v>1345</v>
      </c>
    </row>
    <row r="91" spans="1:55" x14ac:dyDescent="0.4">
      <c r="A91" s="7"/>
      <c r="B91" s="7"/>
      <c r="C91" s="7"/>
      <c r="D91" s="7"/>
      <c r="E91" s="7"/>
      <c r="F91" s="7"/>
      <c r="G91" s="24"/>
      <c r="H91" s="5"/>
      <c r="I91" s="24"/>
      <c r="J91" s="5"/>
      <c r="K91" s="24"/>
      <c r="L91" s="5"/>
      <c r="M91" s="27"/>
      <c r="N91" s="5"/>
      <c r="O91" s="27"/>
      <c r="P91" s="5"/>
      <c r="Q91" s="24"/>
      <c r="R91" s="5"/>
      <c r="S91" s="24"/>
      <c r="T91" s="5"/>
      <c r="U91" s="24"/>
      <c r="V91" s="5"/>
      <c r="W91" s="24"/>
      <c r="X91" s="5"/>
      <c r="Z91" s="5"/>
      <c r="AB91" s="5"/>
      <c r="AD91" s="5"/>
      <c r="AF91" s="6" t="str">
        <f t="shared" si="211"/>
        <v>N</v>
      </c>
      <c r="AG91" s="6" t="s">
        <v>2590</v>
      </c>
      <c r="AH91" t="str">
        <f t="shared" ref="AH91:AL91" si="277">IF(EXACT(AI91,I91)=TRUE,"Y","N")</f>
        <v>N</v>
      </c>
      <c r="AI91" t="s">
        <v>2591</v>
      </c>
      <c r="AJ91" t="str">
        <f t="shared" si="277"/>
        <v>N</v>
      </c>
      <c r="AK91" s="6" t="s">
        <v>2592</v>
      </c>
      <c r="AL91" s="6" t="str">
        <f t="shared" si="277"/>
        <v>N</v>
      </c>
      <c r="AM91" s="6" t="s">
        <v>2593</v>
      </c>
      <c r="AN91" s="6" t="str">
        <f t="shared" ref="AN91:AR91" si="278">IF(EXACT(AO91,O91)=TRUE,"Y","N")</f>
        <v>N</v>
      </c>
      <c r="AO91" t="s">
        <v>2594</v>
      </c>
      <c r="AP91" t="str">
        <f t="shared" si="278"/>
        <v>N</v>
      </c>
      <c r="AQ91" t="s">
        <v>2595</v>
      </c>
      <c r="AR91" t="str">
        <f t="shared" si="278"/>
        <v>N</v>
      </c>
      <c r="AS91" t="s">
        <v>2596</v>
      </c>
      <c r="AT91" t="str">
        <f t="shared" si="214"/>
        <v>N</v>
      </c>
      <c r="AU91" t="s">
        <v>2597</v>
      </c>
      <c r="AV91" t="str">
        <f t="shared" si="215"/>
        <v>N</v>
      </c>
      <c r="AW91" t="s">
        <v>2598</v>
      </c>
      <c r="AX91" t="str">
        <f t="shared" ref="AX91:BB91" si="279">IF(EXACT(AY91,Y91)=TRUE,"Y","N")</f>
        <v>N</v>
      </c>
      <c r="AY91" t="s">
        <v>2599</v>
      </c>
      <c r="AZ91" t="str">
        <f t="shared" si="279"/>
        <v>N</v>
      </c>
      <c r="BA91" t="s">
        <v>2600</v>
      </c>
      <c r="BB91" t="str">
        <f t="shared" si="279"/>
        <v>N</v>
      </c>
      <c r="BC91" t="s">
        <v>2601</v>
      </c>
    </row>
    <row r="92" spans="1:55" x14ac:dyDescent="0.4">
      <c r="A92" s="7"/>
      <c r="B92" s="7"/>
      <c r="C92" s="7"/>
      <c r="D92" s="7"/>
      <c r="E92" s="7"/>
      <c r="F92" s="7"/>
      <c r="G92" s="24"/>
      <c r="H92" s="5"/>
      <c r="I92" s="24"/>
      <c r="J92" s="5"/>
      <c r="K92" s="24"/>
      <c r="L92" s="5"/>
      <c r="M92" s="27"/>
      <c r="N92" s="5"/>
      <c r="O92" s="27"/>
      <c r="P92" s="5"/>
      <c r="Q92" s="24"/>
      <c r="R92" s="5"/>
      <c r="S92" s="24"/>
      <c r="T92" s="5"/>
      <c r="U92" s="24"/>
      <c r="V92" s="5"/>
      <c r="W92" s="24"/>
      <c r="X92" s="5"/>
      <c r="Z92" s="5"/>
      <c r="AB92" s="5"/>
      <c r="AD92" s="5"/>
      <c r="AF92" s="6" t="str">
        <f t="shared" si="211"/>
        <v>N</v>
      </c>
      <c r="AG92" s="6" t="s">
        <v>2602</v>
      </c>
      <c r="AH92" t="str">
        <f t="shared" ref="AH92:AL92" si="280">IF(EXACT(AI92,I92)=TRUE,"Y","N")</f>
        <v>N</v>
      </c>
      <c r="AI92" t="s">
        <v>2603</v>
      </c>
      <c r="AJ92" t="str">
        <f t="shared" si="280"/>
        <v>N</v>
      </c>
      <c r="AK92" s="6" t="s">
        <v>2604</v>
      </c>
      <c r="AL92" s="6" t="str">
        <f t="shared" si="280"/>
        <v>N</v>
      </c>
      <c r="AM92" s="6" t="s">
        <v>2605</v>
      </c>
      <c r="AN92" s="6" t="str">
        <f t="shared" ref="AN92:AR92" si="281">IF(EXACT(AO92,O92)=TRUE,"Y","N")</f>
        <v>N</v>
      </c>
      <c r="AO92" t="s">
        <v>2606</v>
      </c>
      <c r="AP92" t="str">
        <f t="shared" si="281"/>
        <v>N</v>
      </c>
      <c r="AQ92" t="s">
        <v>2607</v>
      </c>
      <c r="AR92" t="str">
        <f t="shared" si="281"/>
        <v>N</v>
      </c>
      <c r="AS92" t="s">
        <v>2608</v>
      </c>
      <c r="AT92" t="str">
        <f t="shared" si="214"/>
        <v>N</v>
      </c>
      <c r="AU92" t="s">
        <v>2609</v>
      </c>
      <c r="AV92" t="str">
        <f t="shared" si="215"/>
        <v>N</v>
      </c>
      <c r="AW92" t="s">
        <v>2610</v>
      </c>
      <c r="AX92" t="str">
        <f t="shared" ref="AX92:BB92" si="282">IF(EXACT(AY92,Y92)=TRUE,"Y","N")</f>
        <v>N</v>
      </c>
      <c r="AY92" t="s">
        <v>2611</v>
      </c>
      <c r="AZ92" t="str">
        <f t="shared" si="282"/>
        <v>N</v>
      </c>
      <c r="BA92" t="s">
        <v>2612</v>
      </c>
      <c r="BB92" t="str">
        <f t="shared" si="282"/>
        <v>N</v>
      </c>
      <c r="BC92" t="s">
        <v>2613</v>
      </c>
    </row>
    <row r="93" spans="1:55" x14ac:dyDescent="0.4">
      <c r="A93" s="7"/>
      <c r="B93" s="7"/>
      <c r="C93" s="7"/>
      <c r="D93" s="7"/>
      <c r="E93" s="7"/>
      <c r="F93" s="7"/>
      <c r="G93" s="24"/>
      <c r="H93" s="5"/>
      <c r="I93" s="24"/>
      <c r="J93" s="5"/>
      <c r="K93" s="24"/>
      <c r="L93" s="5"/>
      <c r="M93" s="27"/>
      <c r="N93" s="5"/>
      <c r="O93" s="27"/>
      <c r="P93" s="5"/>
      <c r="Q93" s="24"/>
      <c r="R93" s="5"/>
      <c r="S93" s="24"/>
      <c r="T93" s="5"/>
      <c r="U93" s="24"/>
      <c r="V93" s="5"/>
      <c r="W93" s="24"/>
      <c r="X93" s="5"/>
      <c r="Z93" s="5"/>
      <c r="AB93" s="5"/>
      <c r="AD93" s="5"/>
      <c r="AF93" s="6" t="str">
        <f t="shared" si="211"/>
        <v>N</v>
      </c>
      <c r="AG93" s="6" t="s">
        <v>2614</v>
      </c>
      <c r="AH93" t="str">
        <f t="shared" ref="AH93:AL93" si="283">IF(EXACT(AI93,I93)=TRUE,"Y","N")</f>
        <v>N</v>
      </c>
      <c r="AI93" t="s">
        <v>2615</v>
      </c>
      <c r="AJ93" t="str">
        <f t="shared" si="283"/>
        <v>N</v>
      </c>
      <c r="AK93" s="6" t="s">
        <v>2616</v>
      </c>
      <c r="AL93" s="6" t="str">
        <f t="shared" si="283"/>
        <v>N</v>
      </c>
      <c r="AM93" s="6" t="s">
        <v>2617</v>
      </c>
      <c r="AN93" s="6" t="str">
        <f t="shared" ref="AN93:AR93" si="284">IF(EXACT(AO93,O93)=TRUE,"Y","N")</f>
        <v>N</v>
      </c>
      <c r="AO93" t="s">
        <v>2618</v>
      </c>
      <c r="AP93" t="str">
        <f t="shared" si="284"/>
        <v>N</v>
      </c>
      <c r="AQ93" t="s">
        <v>2619</v>
      </c>
      <c r="AR93" t="str">
        <f t="shared" si="284"/>
        <v>N</v>
      </c>
      <c r="AS93" t="s">
        <v>2620</v>
      </c>
      <c r="AT93" t="str">
        <f t="shared" si="214"/>
        <v>N</v>
      </c>
      <c r="AU93" t="s">
        <v>2621</v>
      </c>
      <c r="AV93" t="str">
        <f t="shared" si="215"/>
        <v>N</v>
      </c>
      <c r="AW93" t="s">
        <v>2622</v>
      </c>
      <c r="AX93" t="str">
        <f t="shared" ref="AX93:BB93" si="285">IF(EXACT(AY93,Y93)=TRUE,"Y","N")</f>
        <v>N</v>
      </c>
      <c r="AY93" t="s">
        <v>2623</v>
      </c>
      <c r="AZ93" t="str">
        <f t="shared" si="285"/>
        <v>N</v>
      </c>
      <c r="BA93" t="s">
        <v>2624</v>
      </c>
      <c r="BB93" t="str">
        <f t="shared" si="285"/>
        <v>N</v>
      </c>
      <c r="BC93" t="s">
        <v>1039</v>
      </c>
    </row>
    <row r="94" spans="1:55" x14ac:dyDescent="0.4">
      <c r="A94" s="7"/>
      <c r="B94" s="7"/>
      <c r="C94" s="7"/>
      <c r="D94" s="7"/>
      <c r="E94" s="7"/>
      <c r="F94" s="7"/>
      <c r="G94" s="24"/>
      <c r="H94" s="5"/>
      <c r="I94" s="24"/>
      <c r="J94" s="5"/>
      <c r="K94" s="24"/>
      <c r="L94" s="5"/>
      <c r="M94" s="27"/>
      <c r="N94" s="5"/>
      <c r="O94" s="27"/>
      <c r="P94" s="5"/>
      <c r="Q94" s="24"/>
      <c r="R94" s="5"/>
      <c r="S94" s="24"/>
      <c r="T94" s="5"/>
      <c r="U94" s="24"/>
      <c r="V94" s="5"/>
      <c r="W94" s="24"/>
      <c r="X94" s="5"/>
      <c r="Z94" s="5"/>
      <c r="AB94" s="5"/>
      <c r="AD94" s="5"/>
      <c r="AF94" s="6" t="str">
        <f t="shared" si="211"/>
        <v>N</v>
      </c>
      <c r="AG94" s="6" t="s">
        <v>746</v>
      </c>
      <c r="AH94" t="str">
        <f t="shared" ref="AH94:AL94" si="286">IF(EXACT(AI94,I94)=TRUE,"Y","N")</f>
        <v>N</v>
      </c>
      <c r="AI94" t="s">
        <v>2625</v>
      </c>
      <c r="AJ94" t="str">
        <f t="shared" si="286"/>
        <v>N</v>
      </c>
      <c r="AK94" s="6" t="s">
        <v>2626</v>
      </c>
      <c r="AL94" s="6" t="str">
        <f t="shared" si="286"/>
        <v>N</v>
      </c>
      <c r="AM94" s="6" t="s">
        <v>2627</v>
      </c>
      <c r="AN94" s="6" t="str">
        <f t="shared" ref="AN94:AR94" si="287">IF(EXACT(AO94,O94)=TRUE,"Y","N")</f>
        <v>N</v>
      </c>
      <c r="AO94" t="s">
        <v>2628</v>
      </c>
      <c r="AP94" t="str">
        <f t="shared" si="287"/>
        <v>N</v>
      </c>
      <c r="AQ94" t="s">
        <v>2629</v>
      </c>
      <c r="AR94" t="str">
        <f t="shared" si="287"/>
        <v>N</v>
      </c>
      <c r="AS94" t="s">
        <v>2630</v>
      </c>
      <c r="AT94" t="str">
        <f t="shared" si="214"/>
        <v>N</v>
      </c>
      <c r="AU94" t="s">
        <v>2631</v>
      </c>
      <c r="AV94" t="str">
        <f t="shared" si="215"/>
        <v>N</v>
      </c>
      <c r="AW94" t="s">
        <v>2632</v>
      </c>
      <c r="AX94" t="str">
        <f t="shared" ref="AX94:BB94" si="288">IF(EXACT(AY94,Y94)=TRUE,"Y","N")</f>
        <v>N</v>
      </c>
      <c r="AY94" t="s">
        <v>2633</v>
      </c>
      <c r="AZ94" t="str">
        <f t="shared" si="288"/>
        <v>N</v>
      </c>
      <c r="BA94" t="s">
        <v>2634</v>
      </c>
      <c r="BB94" t="str">
        <f t="shared" si="288"/>
        <v>N</v>
      </c>
      <c r="BC94" t="s">
        <v>2635</v>
      </c>
    </row>
    <row r="95" spans="1:55" x14ac:dyDescent="0.4">
      <c r="A95" s="7"/>
      <c r="B95" s="7"/>
      <c r="C95" s="7"/>
      <c r="D95" s="7"/>
      <c r="E95" s="7"/>
      <c r="F95" s="7"/>
      <c r="G95" s="24"/>
      <c r="H95" s="5"/>
      <c r="I95" s="24"/>
      <c r="J95" s="5"/>
      <c r="K95" s="24"/>
      <c r="L95" s="5"/>
      <c r="M95" s="27"/>
      <c r="N95" s="5"/>
      <c r="O95" s="27"/>
      <c r="P95" s="5"/>
      <c r="Q95" s="24"/>
      <c r="R95" s="5"/>
      <c r="S95" s="24"/>
      <c r="T95" s="5"/>
      <c r="U95" s="24"/>
      <c r="V95" s="5"/>
      <c r="W95" s="24"/>
      <c r="X95" s="5"/>
      <c r="Z95" s="5"/>
      <c r="AB95" s="5"/>
      <c r="AD95" s="5"/>
      <c r="AF95" s="6" t="str">
        <f t="shared" si="211"/>
        <v>N</v>
      </c>
      <c r="AG95" s="6" t="s">
        <v>2636</v>
      </c>
      <c r="AH95" t="str">
        <f t="shared" ref="AH95:AL95" si="289">IF(EXACT(AI95,I95)=TRUE,"Y","N")</f>
        <v>N</v>
      </c>
      <c r="AI95" t="s">
        <v>2637</v>
      </c>
      <c r="AJ95" t="str">
        <f t="shared" si="289"/>
        <v>N</v>
      </c>
      <c r="AK95" s="6" t="s">
        <v>2638</v>
      </c>
      <c r="AL95" s="6" t="str">
        <f t="shared" si="289"/>
        <v>N</v>
      </c>
      <c r="AM95" s="6" t="s">
        <v>2639</v>
      </c>
      <c r="AN95" s="6" t="str">
        <f t="shared" ref="AN95:AR95" si="290">IF(EXACT(AO95,O95)=TRUE,"Y","N")</f>
        <v>N</v>
      </c>
      <c r="AO95" t="s">
        <v>2640</v>
      </c>
      <c r="AP95" t="str">
        <f t="shared" si="290"/>
        <v>N</v>
      </c>
      <c r="AQ95" t="s">
        <v>2641</v>
      </c>
      <c r="AR95" t="str">
        <f t="shared" si="290"/>
        <v>N</v>
      </c>
      <c r="AS95" t="s">
        <v>2642</v>
      </c>
      <c r="AT95" t="str">
        <f t="shared" si="214"/>
        <v>N</v>
      </c>
      <c r="AU95" t="s">
        <v>2643</v>
      </c>
      <c r="AV95" t="str">
        <f t="shared" si="215"/>
        <v>N</v>
      </c>
      <c r="AW95" t="s">
        <v>2644</v>
      </c>
      <c r="AX95" t="str">
        <f t="shared" ref="AX95:BB95" si="291">IF(EXACT(AY95,Y95)=TRUE,"Y","N")</f>
        <v>N</v>
      </c>
      <c r="AY95" t="s">
        <v>2645</v>
      </c>
      <c r="AZ95" t="str">
        <f t="shared" si="291"/>
        <v>N</v>
      </c>
      <c r="BA95" t="s">
        <v>2646</v>
      </c>
      <c r="BB95" t="str">
        <f t="shared" si="291"/>
        <v>N</v>
      </c>
      <c r="BC95" t="s">
        <v>2647</v>
      </c>
    </row>
    <row r="96" spans="1:55" x14ac:dyDescent="0.4">
      <c r="A96" s="7"/>
      <c r="B96" s="7"/>
      <c r="C96" s="7"/>
      <c r="D96" s="7"/>
      <c r="E96" s="7"/>
      <c r="F96" s="7"/>
      <c r="G96" s="24"/>
      <c r="H96" s="5"/>
      <c r="I96" s="24"/>
      <c r="J96" s="5"/>
      <c r="K96" s="24"/>
      <c r="L96" s="5"/>
      <c r="M96" s="27"/>
      <c r="N96" s="5"/>
      <c r="O96" s="27"/>
      <c r="P96" s="5"/>
      <c r="Q96" s="24"/>
      <c r="R96" s="5"/>
      <c r="S96" s="24"/>
      <c r="T96" s="5"/>
      <c r="U96" s="24"/>
      <c r="V96" s="5"/>
      <c r="W96" s="24"/>
      <c r="X96" s="5"/>
      <c r="Z96" s="5"/>
      <c r="AB96" s="5"/>
      <c r="AD96" s="5"/>
      <c r="AF96" s="6" t="str">
        <f t="shared" si="211"/>
        <v>N</v>
      </c>
      <c r="AG96" s="6" t="s">
        <v>2648</v>
      </c>
      <c r="AH96" t="str">
        <f t="shared" ref="AH96:AL96" si="292">IF(EXACT(AI96,I96)=TRUE,"Y","N")</f>
        <v>N</v>
      </c>
      <c r="AI96" t="s">
        <v>2649</v>
      </c>
      <c r="AJ96" t="str">
        <f t="shared" si="292"/>
        <v>N</v>
      </c>
      <c r="AK96" s="6" t="s">
        <v>2650</v>
      </c>
      <c r="AL96" s="6" t="str">
        <f t="shared" si="292"/>
        <v>N</v>
      </c>
      <c r="AM96" s="6" t="s">
        <v>2651</v>
      </c>
      <c r="AN96" s="6" t="str">
        <f t="shared" ref="AN96:AR96" si="293">IF(EXACT(AO96,O96)=TRUE,"Y","N")</f>
        <v>N</v>
      </c>
      <c r="AO96" t="s">
        <v>2652</v>
      </c>
      <c r="AP96" t="str">
        <f t="shared" si="293"/>
        <v>N</v>
      </c>
      <c r="AQ96" t="s">
        <v>2653</v>
      </c>
      <c r="AR96" t="str">
        <f t="shared" si="293"/>
        <v>N</v>
      </c>
      <c r="AS96" t="s">
        <v>2654</v>
      </c>
      <c r="AT96" t="str">
        <f t="shared" si="214"/>
        <v>N</v>
      </c>
      <c r="AU96" t="s">
        <v>2655</v>
      </c>
      <c r="AV96" t="str">
        <f t="shared" si="215"/>
        <v>N</v>
      </c>
      <c r="AW96" t="s">
        <v>2656</v>
      </c>
      <c r="AX96" t="str">
        <f t="shared" ref="AX96:BB96" si="294">IF(EXACT(AY96,Y96)=TRUE,"Y","N")</f>
        <v>N</v>
      </c>
      <c r="AY96" t="s">
        <v>2657</v>
      </c>
      <c r="AZ96" t="str">
        <f t="shared" si="294"/>
        <v>N</v>
      </c>
      <c r="BA96" t="s">
        <v>2658</v>
      </c>
      <c r="BB96" t="str">
        <f t="shared" si="294"/>
        <v>N</v>
      </c>
      <c r="BC96" t="s">
        <v>2659</v>
      </c>
    </row>
    <row r="97" spans="1:55" x14ac:dyDescent="0.4">
      <c r="A97" s="7"/>
      <c r="B97" s="7"/>
      <c r="C97" s="7"/>
      <c r="D97" s="7"/>
      <c r="E97" s="7"/>
      <c r="F97" s="7"/>
      <c r="G97" s="24"/>
      <c r="H97" s="5"/>
      <c r="I97" s="24"/>
      <c r="J97" s="5"/>
      <c r="K97" s="24"/>
      <c r="L97" s="5"/>
      <c r="M97" s="27"/>
      <c r="N97" s="5"/>
      <c r="O97" s="27"/>
      <c r="P97" s="5"/>
      <c r="Q97" s="24"/>
      <c r="R97" s="5"/>
      <c r="S97" s="24"/>
      <c r="T97" s="5"/>
      <c r="U97" s="24"/>
      <c r="V97" s="5"/>
      <c r="W97" s="24"/>
      <c r="X97" s="5"/>
      <c r="Z97" s="5"/>
      <c r="AB97" s="5"/>
      <c r="AD97" s="5"/>
      <c r="AF97" s="6" t="str">
        <f t="shared" si="211"/>
        <v>N</v>
      </c>
      <c r="AG97" s="6" t="s">
        <v>2660</v>
      </c>
      <c r="AH97" t="str">
        <f t="shared" ref="AH97:AL97" si="295">IF(EXACT(AI97,I97)=TRUE,"Y","N")</f>
        <v>N</v>
      </c>
      <c r="AI97" t="s">
        <v>2661</v>
      </c>
      <c r="AJ97" t="str">
        <f t="shared" si="295"/>
        <v>N</v>
      </c>
      <c r="AK97" s="6" t="s">
        <v>2662</v>
      </c>
      <c r="AL97" s="6" t="str">
        <f t="shared" si="295"/>
        <v>N</v>
      </c>
      <c r="AM97" s="6" t="s">
        <v>2663</v>
      </c>
      <c r="AN97" s="6" t="str">
        <f t="shared" ref="AN97:AR97" si="296">IF(EXACT(AO97,O97)=TRUE,"Y","N")</f>
        <v>N</v>
      </c>
      <c r="AO97" t="s">
        <v>2664</v>
      </c>
      <c r="AP97" t="str">
        <f t="shared" si="296"/>
        <v>N</v>
      </c>
      <c r="AQ97" t="s">
        <v>2665</v>
      </c>
      <c r="AR97" t="str">
        <f t="shared" si="296"/>
        <v>N</v>
      </c>
      <c r="AS97" t="s">
        <v>2666</v>
      </c>
      <c r="AT97" t="str">
        <f t="shared" si="214"/>
        <v>N</v>
      </c>
      <c r="AU97" t="s">
        <v>2667</v>
      </c>
      <c r="AV97" t="str">
        <f t="shared" si="215"/>
        <v>N</v>
      </c>
      <c r="AW97" t="s">
        <v>2668</v>
      </c>
      <c r="AX97" t="str">
        <f t="shared" ref="AX97:BB97" si="297">IF(EXACT(AY97,Y97)=TRUE,"Y","N")</f>
        <v>N</v>
      </c>
      <c r="AY97" t="s">
        <v>2669</v>
      </c>
      <c r="AZ97" t="str">
        <f t="shared" si="297"/>
        <v>N</v>
      </c>
      <c r="BA97" t="s">
        <v>2670</v>
      </c>
      <c r="BB97" t="str">
        <f t="shared" si="297"/>
        <v>N</v>
      </c>
      <c r="BC97" t="s">
        <v>2671</v>
      </c>
    </row>
    <row r="98" spans="1:55" x14ac:dyDescent="0.4">
      <c r="A98" s="7"/>
      <c r="B98" s="7"/>
      <c r="C98" s="7"/>
      <c r="D98" s="7"/>
      <c r="E98" s="7"/>
      <c r="F98" s="7"/>
      <c r="G98" s="24"/>
      <c r="H98" s="5"/>
      <c r="I98" s="24"/>
      <c r="J98" s="5"/>
      <c r="K98" s="24"/>
      <c r="L98" s="5"/>
      <c r="M98" s="27"/>
      <c r="N98" s="5"/>
      <c r="O98" s="27"/>
      <c r="P98" s="5"/>
      <c r="Q98" s="24"/>
      <c r="R98" s="5"/>
      <c r="S98" s="24"/>
      <c r="T98" s="5"/>
      <c r="U98" s="24"/>
      <c r="V98" s="5"/>
      <c r="W98" s="24"/>
      <c r="X98" s="5"/>
      <c r="Z98" s="5"/>
      <c r="AB98" s="5"/>
      <c r="AD98" s="5"/>
      <c r="AF98" s="6" t="str">
        <f t="shared" si="211"/>
        <v>N</v>
      </c>
      <c r="AG98" s="6" t="s">
        <v>2672</v>
      </c>
      <c r="AH98" t="str">
        <f t="shared" ref="AH98:AL98" si="298">IF(EXACT(AI98,I98)=TRUE,"Y","N")</f>
        <v>N</v>
      </c>
      <c r="AI98" t="s">
        <v>2673</v>
      </c>
      <c r="AJ98" t="str">
        <f t="shared" si="298"/>
        <v>N</v>
      </c>
      <c r="AK98" s="6" t="s">
        <v>2674</v>
      </c>
      <c r="AL98" s="6" t="str">
        <f t="shared" si="298"/>
        <v>N</v>
      </c>
      <c r="AM98" s="6" t="s">
        <v>2675</v>
      </c>
      <c r="AN98" s="6" t="str">
        <f t="shared" ref="AN98:AR98" si="299">IF(EXACT(AO98,O98)=TRUE,"Y","N")</f>
        <v>N</v>
      </c>
      <c r="AO98" t="s">
        <v>2676</v>
      </c>
      <c r="AP98" t="str">
        <f t="shared" si="299"/>
        <v>N</v>
      </c>
      <c r="AQ98" t="s">
        <v>2677</v>
      </c>
      <c r="AR98" t="str">
        <f t="shared" si="299"/>
        <v>N</v>
      </c>
      <c r="AS98" t="s">
        <v>2678</v>
      </c>
      <c r="AT98" t="str">
        <f t="shared" si="214"/>
        <v>N</v>
      </c>
      <c r="AU98" t="s">
        <v>2679</v>
      </c>
      <c r="AV98" t="str">
        <f t="shared" si="215"/>
        <v>N</v>
      </c>
      <c r="AW98" t="s">
        <v>2680</v>
      </c>
      <c r="AX98" t="str">
        <f t="shared" ref="AX98:BB98" si="300">IF(EXACT(AY98,Y98)=TRUE,"Y","N")</f>
        <v>N</v>
      </c>
      <c r="AY98" t="s">
        <v>2681</v>
      </c>
      <c r="AZ98" t="str">
        <f t="shared" si="300"/>
        <v>N</v>
      </c>
      <c r="BA98" t="s">
        <v>2682</v>
      </c>
      <c r="BB98" t="str">
        <f t="shared" si="300"/>
        <v>N</v>
      </c>
      <c r="BC98" t="s">
        <v>1388</v>
      </c>
    </row>
    <row r="99" spans="1:55" x14ac:dyDescent="0.4">
      <c r="A99" s="7"/>
      <c r="B99" s="7"/>
      <c r="C99" s="7"/>
      <c r="D99" s="7"/>
      <c r="E99" s="7"/>
      <c r="F99" s="7"/>
      <c r="G99" s="24"/>
      <c r="H99" s="5"/>
      <c r="I99" s="24"/>
      <c r="J99" s="5"/>
      <c r="K99" s="24"/>
      <c r="L99" s="5"/>
      <c r="M99" s="27"/>
      <c r="N99" s="5"/>
      <c r="O99" s="27"/>
      <c r="P99" s="5"/>
      <c r="Q99" s="24"/>
      <c r="R99" s="5"/>
      <c r="S99" s="24"/>
      <c r="T99" s="5"/>
      <c r="U99" s="24"/>
      <c r="V99" s="5"/>
      <c r="W99" s="24"/>
      <c r="X99" s="5"/>
      <c r="Z99" s="5"/>
      <c r="AB99" s="5"/>
      <c r="AD99" s="5"/>
      <c r="AF99" s="6" t="str">
        <f t="shared" si="211"/>
        <v>N</v>
      </c>
      <c r="AG99" s="6" t="s">
        <v>2683</v>
      </c>
      <c r="AH99" t="str">
        <f t="shared" ref="AH99:AL99" si="301">IF(EXACT(AI99,I99)=TRUE,"Y","N")</f>
        <v>N</v>
      </c>
      <c r="AI99" t="s">
        <v>2684</v>
      </c>
      <c r="AJ99" t="str">
        <f t="shared" si="301"/>
        <v>N</v>
      </c>
      <c r="AK99" s="6" t="s">
        <v>2685</v>
      </c>
      <c r="AL99" s="6" t="str">
        <f t="shared" si="301"/>
        <v>N</v>
      </c>
      <c r="AM99" s="6" t="s">
        <v>2686</v>
      </c>
      <c r="AN99" s="6" t="str">
        <f t="shared" ref="AN99:AR99" si="302">IF(EXACT(AO99,O99)=TRUE,"Y","N")</f>
        <v>N</v>
      </c>
      <c r="AO99" t="s">
        <v>2687</v>
      </c>
      <c r="AP99" t="str">
        <f t="shared" si="302"/>
        <v>N</v>
      </c>
      <c r="AQ99" t="s">
        <v>2688</v>
      </c>
      <c r="AR99" t="str">
        <f t="shared" si="302"/>
        <v>N</v>
      </c>
      <c r="AS99" t="s">
        <v>2689</v>
      </c>
      <c r="AT99" t="str">
        <f t="shared" si="214"/>
        <v>N</v>
      </c>
      <c r="AU99" t="s">
        <v>2690</v>
      </c>
      <c r="AV99" t="str">
        <f t="shared" si="215"/>
        <v>N</v>
      </c>
      <c r="AW99" t="s">
        <v>2691</v>
      </c>
      <c r="AX99" t="str">
        <f t="shared" ref="AX99:BB99" si="303">IF(EXACT(AY99,Y99)=TRUE,"Y","N")</f>
        <v>N</v>
      </c>
      <c r="AY99" t="s">
        <v>2692</v>
      </c>
      <c r="AZ99" t="str">
        <f t="shared" si="303"/>
        <v>N</v>
      </c>
      <c r="BA99" t="s">
        <v>2693</v>
      </c>
      <c r="BB99" t="str">
        <f t="shared" si="303"/>
        <v>N</v>
      </c>
      <c r="BC99" t="s">
        <v>2694</v>
      </c>
    </row>
    <row r="100" spans="1:55" x14ac:dyDescent="0.4">
      <c r="A100" s="7"/>
      <c r="B100" s="7"/>
      <c r="C100" s="7"/>
      <c r="D100" s="7"/>
      <c r="E100" s="7"/>
      <c r="F100" s="7"/>
      <c r="G100" s="24"/>
      <c r="H100" s="5"/>
      <c r="I100" s="24"/>
      <c r="J100" s="5"/>
      <c r="K100" s="24"/>
      <c r="L100" s="5"/>
      <c r="M100" s="27"/>
      <c r="N100" s="5"/>
      <c r="O100" s="27"/>
      <c r="P100" s="5"/>
      <c r="Q100" s="24"/>
      <c r="R100" s="5"/>
      <c r="S100" s="24"/>
      <c r="T100" s="5"/>
      <c r="U100" s="24"/>
      <c r="V100" s="5"/>
      <c r="W100" s="24"/>
      <c r="X100" s="5"/>
      <c r="Z100" s="5"/>
      <c r="AB100" s="5"/>
      <c r="AD100" s="5"/>
      <c r="AF100" s="6" t="str">
        <f t="shared" si="211"/>
        <v>N</v>
      </c>
      <c r="AG100" s="6" t="s">
        <v>2695</v>
      </c>
      <c r="AH100" t="str">
        <f t="shared" ref="AH100:AL100" si="304">IF(EXACT(AI100,I100)=TRUE,"Y","N")</f>
        <v>N</v>
      </c>
      <c r="AI100" t="s">
        <v>2696</v>
      </c>
      <c r="AJ100" t="str">
        <f t="shared" si="304"/>
        <v>N</v>
      </c>
      <c r="AK100" s="6" t="s">
        <v>2697</v>
      </c>
      <c r="AL100" s="6" t="str">
        <f t="shared" si="304"/>
        <v>N</v>
      </c>
      <c r="AM100" s="6" t="s">
        <v>2698</v>
      </c>
      <c r="AN100" s="6" t="str">
        <f t="shared" ref="AN100:AR100" si="305">IF(EXACT(AO100,O100)=TRUE,"Y","N")</f>
        <v>N</v>
      </c>
      <c r="AO100" t="s">
        <v>2699</v>
      </c>
      <c r="AP100" t="str">
        <f t="shared" si="305"/>
        <v>N</v>
      </c>
      <c r="AQ100" t="s">
        <v>2700</v>
      </c>
      <c r="AR100" t="str">
        <f t="shared" si="305"/>
        <v>N</v>
      </c>
      <c r="AS100" t="s">
        <v>2701</v>
      </c>
      <c r="AT100" t="str">
        <f t="shared" si="214"/>
        <v>N</v>
      </c>
      <c r="AU100" t="s">
        <v>2702</v>
      </c>
      <c r="AV100" t="str">
        <f t="shared" si="215"/>
        <v>N</v>
      </c>
      <c r="AW100" t="s">
        <v>2703</v>
      </c>
      <c r="AX100" t="str">
        <f t="shared" ref="AX100:BB100" si="306">IF(EXACT(AY100,Y100)=TRUE,"Y","N")</f>
        <v>N</v>
      </c>
      <c r="AY100" t="s">
        <v>2704</v>
      </c>
      <c r="AZ100" t="str">
        <f t="shared" si="306"/>
        <v>N</v>
      </c>
      <c r="BA100" t="s">
        <v>2705</v>
      </c>
      <c r="BB100" t="str">
        <f t="shared" si="306"/>
        <v>N</v>
      </c>
      <c r="BC100" t="s">
        <v>2706</v>
      </c>
    </row>
    <row r="101" spans="1:55" x14ac:dyDescent="0.4">
      <c r="A101" s="7"/>
      <c r="B101" s="7"/>
      <c r="C101" s="7"/>
      <c r="D101" s="7"/>
      <c r="E101" s="7"/>
      <c r="F101" s="7"/>
      <c r="G101" s="24"/>
      <c r="H101" s="5"/>
      <c r="I101" s="24"/>
      <c r="J101" s="5"/>
      <c r="K101" s="24"/>
      <c r="L101" s="5"/>
      <c r="M101" s="27"/>
      <c r="N101" s="5"/>
      <c r="O101" s="27"/>
      <c r="P101" s="5"/>
      <c r="Q101" s="24"/>
      <c r="R101" s="5"/>
      <c r="S101" s="24"/>
      <c r="T101" s="5"/>
      <c r="U101" s="24"/>
      <c r="V101" s="5"/>
      <c r="W101" s="24"/>
      <c r="X101" s="5"/>
      <c r="Z101" s="5"/>
      <c r="AB101" s="5"/>
      <c r="AD101" s="5"/>
      <c r="AF101" s="6" t="str">
        <f t="shared" si="211"/>
        <v>N</v>
      </c>
      <c r="AG101" s="6" t="s">
        <v>2707</v>
      </c>
      <c r="AH101" t="str">
        <f t="shared" ref="AH101:AL101" si="307">IF(EXACT(AI101,I101)=TRUE,"Y","N")</f>
        <v>N</v>
      </c>
      <c r="AI101" t="s">
        <v>2708</v>
      </c>
      <c r="AJ101" t="str">
        <f t="shared" si="307"/>
        <v>N</v>
      </c>
      <c r="AK101" s="6" t="s">
        <v>2709</v>
      </c>
      <c r="AL101" s="6" t="str">
        <f t="shared" si="307"/>
        <v>N</v>
      </c>
      <c r="AM101" s="6" t="s">
        <v>2710</v>
      </c>
      <c r="AN101" s="6" t="str">
        <f t="shared" ref="AN101:AR101" si="308">IF(EXACT(AO101,O101)=TRUE,"Y","N")</f>
        <v>N</v>
      </c>
      <c r="AO101" t="s">
        <v>2711</v>
      </c>
      <c r="AP101" t="str">
        <f t="shared" si="308"/>
        <v>N</v>
      </c>
      <c r="AQ101" t="s">
        <v>2712</v>
      </c>
      <c r="AR101" t="str">
        <f t="shared" si="308"/>
        <v>N</v>
      </c>
      <c r="AS101" t="s">
        <v>2713</v>
      </c>
      <c r="AT101" t="str">
        <f t="shared" si="214"/>
        <v>N</v>
      </c>
      <c r="AU101" t="s">
        <v>2714</v>
      </c>
      <c r="AV101" t="str">
        <f t="shared" si="215"/>
        <v>N</v>
      </c>
      <c r="AW101" t="s">
        <v>2715</v>
      </c>
      <c r="AX101" t="str">
        <f t="shared" ref="AX101:BB101" si="309">IF(EXACT(AY101,Y101)=TRUE,"Y","N")</f>
        <v>N</v>
      </c>
      <c r="AY101" t="s">
        <v>2716</v>
      </c>
      <c r="AZ101" t="str">
        <f t="shared" si="309"/>
        <v>N</v>
      </c>
      <c r="BA101" t="s">
        <v>2717</v>
      </c>
      <c r="BB101" t="str">
        <f t="shared" si="309"/>
        <v>N</v>
      </c>
      <c r="BC101" t="s">
        <v>2718</v>
      </c>
    </row>
    <row r="102" spans="1:55" x14ac:dyDescent="0.4">
      <c r="A102" s="7"/>
      <c r="B102" s="7"/>
      <c r="C102" s="7"/>
      <c r="D102" s="7"/>
      <c r="E102" s="7"/>
      <c r="F102" s="7"/>
      <c r="G102" s="24"/>
      <c r="H102" s="5"/>
      <c r="I102" s="24"/>
      <c r="J102" s="5"/>
      <c r="K102" s="24"/>
      <c r="L102" s="5"/>
      <c r="M102" s="27"/>
      <c r="N102" s="5"/>
      <c r="O102" s="27"/>
      <c r="P102" s="5"/>
      <c r="Q102" s="24"/>
      <c r="R102" s="5"/>
      <c r="S102" s="24"/>
      <c r="T102" s="5"/>
      <c r="U102" s="24"/>
      <c r="V102" s="5"/>
      <c r="W102" s="24"/>
      <c r="X102" s="5"/>
      <c r="Z102" s="5"/>
      <c r="AB102" s="5"/>
      <c r="AD102" s="5"/>
      <c r="AF102" s="6" t="str">
        <f t="shared" si="211"/>
        <v>N</v>
      </c>
      <c r="AG102" s="6" t="s">
        <v>2719</v>
      </c>
      <c r="AH102" t="str">
        <f t="shared" ref="AH102:AL102" si="310">IF(EXACT(AI102,I102)=TRUE,"Y","N")</f>
        <v>N</v>
      </c>
      <c r="AI102" t="s">
        <v>2720</v>
      </c>
      <c r="AJ102" t="str">
        <f t="shared" si="310"/>
        <v>N</v>
      </c>
      <c r="AK102" s="6" t="s">
        <v>2721</v>
      </c>
      <c r="AL102" s="6" t="str">
        <f t="shared" si="310"/>
        <v>N</v>
      </c>
      <c r="AM102" s="6" t="s">
        <v>2722</v>
      </c>
      <c r="AN102" s="6" t="str">
        <f t="shared" ref="AN102:AR102" si="311">IF(EXACT(AO102,O102)=TRUE,"Y","N")</f>
        <v>N</v>
      </c>
      <c r="AO102" t="s">
        <v>2723</v>
      </c>
      <c r="AP102" t="str">
        <f t="shared" si="311"/>
        <v>N</v>
      </c>
      <c r="AQ102" t="s">
        <v>2724</v>
      </c>
      <c r="AR102" t="str">
        <f t="shared" si="311"/>
        <v>N</v>
      </c>
      <c r="AS102" t="s">
        <v>2725</v>
      </c>
      <c r="AT102" t="str">
        <f t="shared" si="214"/>
        <v>N</v>
      </c>
      <c r="AU102" t="s">
        <v>2726</v>
      </c>
      <c r="AV102" t="str">
        <f t="shared" si="215"/>
        <v>N</v>
      </c>
      <c r="AW102" t="s">
        <v>2727</v>
      </c>
      <c r="AX102" t="str">
        <f t="shared" ref="AX102:BB102" si="312">IF(EXACT(AY102,Y102)=TRUE,"Y","N")</f>
        <v>N</v>
      </c>
      <c r="AY102" t="s">
        <v>2728</v>
      </c>
      <c r="AZ102" t="str">
        <f t="shared" si="312"/>
        <v>N</v>
      </c>
      <c r="BA102" t="s">
        <v>2729</v>
      </c>
      <c r="BB102" t="str">
        <f t="shared" si="312"/>
        <v>N</v>
      </c>
      <c r="BC102" t="s">
        <v>2730</v>
      </c>
    </row>
    <row r="103" spans="1:55" x14ac:dyDescent="0.4">
      <c r="A103" s="7"/>
      <c r="B103" s="7"/>
      <c r="C103" s="7"/>
      <c r="D103" s="7"/>
      <c r="E103" s="7"/>
      <c r="F103" s="7"/>
      <c r="G103" s="24"/>
      <c r="H103" s="5"/>
      <c r="I103" s="24"/>
      <c r="J103" s="5"/>
      <c r="K103" s="24"/>
      <c r="L103" s="5"/>
      <c r="M103" s="27"/>
      <c r="N103" s="5"/>
      <c r="O103" s="27"/>
      <c r="P103" s="5"/>
      <c r="Q103" s="24"/>
      <c r="R103" s="5"/>
      <c r="S103" s="24"/>
      <c r="T103" s="5"/>
      <c r="U103" s="24"/>
      <c r="V103" s="5"/>
      <c r="W103" s="24"/>
      <c r="X103" s="5"/>
      <c r="Z103" s="5"/>
      <c r="AB103" s="5"/>
      <c r="AD103" s="5"/>
      <c r="AF103" s="6" t="str">
        <f t="shared" si="211"/>
        <v>N</v>
      </c>
      <c r="AG103" s="6" t="s">
        <v>2731</v>
      </c>
      <c r="AH103" t="str">
        <f t="shared" ref="AH103:AL103" si="313">IF(EXACT(AI103,I103)=TRUE,"Y","N")</f>
        <v>N</v>
      </c>
      <c r="AI103" t="s">
        <v>2732</v>
      </c>
      <c r="AJ103" t="str">
        <f t="shared" si="313"/>
        <v>N</v>
      </c>
      <c r="AK103" s="6" t="s">
        <v>2733</v>
      </c>
      <c r="AL103" s="6" t="str">
        <f t="shared" si="313"/>
        <v>N</v>
      </c>
      <c r="AM103" s="6" t="s">
        <v>2734</v>
      </c>
      <c r="AP103" t="str">
        <f t="shared" ref="AP103:AR103" si="314">IF(EXACT(AQ103,Q103)=TRUE,"Y","N")</f>
        <v>N</v>
      </c>
      <c r="AQ103" t="s">
        <v>2735</v>
      </c>
      <c r="AR103" t="str">
        <f t="shared" si="314"/>
        <v>N</v>
      </c>
      <c r="AS103" t="s">
        <v>2736</v>
      </c>
      <c r="AT103" t="str">
        <f t="shared" si="214"/>
        <v>N</v>
      </c>
      <c r="AU103" t="s">
        <v>2737</v>
      </c>
      <c r="AV103" t="str">
        <f t="shared" si="215"/>
        <v>N</v>
      </c>
      <c r="AW103" t="s">
        <v>2738</v>
      </c>
      <c r="AX103" t="str">
        <f t="shared" ref="AX103:BB103" si="315">IF(EXACT(AY103,Y103)=TRUE,"Y","N")</f>
        <v>N</v>
      </c>
      <c r="AY103" t="s">
        <v>2739</v>
      </c>
      <c r="AZ103" t="str">
        <f t="shared" si="315"/>
        <v>N</v>
      </c>
      <c r="BA103" t="s">
        <v>2740</v>
      </c>
      <c r="BB103" t="str">
        <f t="shared" si="315"/>
        <v>N</v>
      </c>
      <c r="BC103" t="s">
        <v>2741</v>
      </c>
    </row>
    <row r="104" spans="1:55" x14ac:dyDescent="0.4">
      <c r="A104" s="7"/>
      <c r="B104" s="7"/>
      <c r="C104" s="7"/>
      <c r="D104" s="7"/>
      <c r="E104" s="7"/>
      <c r="F104" s="7"/>
      <c r="G104" s="24"/>
      <c r="H104" s="5"/>
      <c r="I104" s="24"/>
      <c r="J104" s="5"/>
      <c r="K104" s="24"/>
      <c r="L104" s="5"/>
      <c r="M104" s="27"/>
      <c r="N104" s="5"/>
      <c r="O104" s="27"/>
      <c r="P104" s="5"/>
      <c r="Q104" s="24"/>
      <c r="R104" s="5"/>
      <c r="S104" s="24"/>
      <c r="T104" s="5"/>
      <c r="U104" s="24"/>
      <c r="V104" s="5"/>
      <c r="W104" s="24"/>
      <c r="X104" s="5"/>
      <c r="Z104" s="5"/>
      <c r="AB104" s="5"/>
      <c r="AD104" s="5"/>
      <c r="AF104" s="6" t="str">
        <f t="shared" si="211"/>
        <v>N</v>
      </c>
      <c r="AG104" s="6" t="s">
        <v>2742</v>
      </c>
      <c r="AH104" t="str">
        <f t="shared" ref="AH104:AL104" si="316">IF(EXACT(AI104,I104)=TRUE,"Y","N")</f>
        <v>N</v>
      </c>
      <c r="AI104" t="s">
        <v>2743</v>
      </c>
      <c r="AJ104" t="str">
        <f t="shared" si="316"/>
        <v>N</v>
      </c>
      <c r="AK104" s="6" t="s">
        <v>2744</v>
      </c>
      <c r="AL104" s="6" t="str">
        <f t="shared" si="316"/>
        <v>N</v>
      </c>
      <c r="AM104" s="6" t="s">
        <v>2745</v>
      </c>
      <c r="AP104" t="str">
        <f t="shared" ref="AP104:AR104" si="317">IF(EXACT(AQ104,Q104)=TRUE,"Y","N")</f>
        <v>N</v>
      </c>
      <c r="AQ104" t="s">
        <v>2746</v>
      </c>
      <c r="AR104" t="str">
        <f t="shared" si="317"/>
        <v>N</v>
      </c>
      <c r="AS104" t="s">
        <v>2747</v>
      </c>
      <c r="AT104" t="str">
        <f t="shared" si="214"/>
        <v>N</v>
      </c>
      <c r="AU104" t="s">
        <v>2748</v>
      </c>
      <c r="AV104" t="str">
        <f t="shared" si="215"/>
        <v>N</v>
      </c>
      <c r="AW104" t="s">
        <v>2749</v>
      </c>
      <c r="AX104" t="str">
        <f t="shared" ref="AX104:BB104" si="318">IF(EXACT(AY104,Y104)=TRUE,"Y","N")</f>
        <v>N</v>
      </c>
      <c r="AY104" t="s">
        <v>2750</v>
      </c>
      <c r="AZ104" t="str">
        <f t="shared" si="318"/>
        <v>N</v>
      </c>
      <c r="BA104" t="s">
        <v>2751</v>
      </c>
      <c r="BB104" t="str">
        <f t="shared" si="318"/>
        <v>N</v>
      </c>
      <c r="BC104" t="s">
        <v>1411</v>
      </c>
    </row>
    <row r="105" spans="1:55" x14ac:dyDescent="0.4">
      <c r="A105" s="7"/>
      <c r="B105" s="7"/>
      <c r="C105" s="7"/>
      <c r="D105" s="7"/>
      <c r="E105" s="7"/>
      <c r="F105" s="7"/>
      <c r="G105" s="24"/>
      <c r="H105" s="5"/>
      <c r="I105" s="24"/>
      <c r="J105" s="5"/>
      <c r="K105" s="24"/>
      <c r="L105" s="5"/>
      <c r="M105" s="27"/>
      <c r="N105" s="5"/>
      <c r="O105" s="27"/>
      <c r="P105" s="5"/>
      <c r="Q105" s="24"/>
      <c r="R105" s="5"/>
      <c r="S105" s="24"/>
      <c r="T105" s="5"/>
      <c r="U105" s="24"/>
      <c r="V105" s="5"/>
      <c r="W105" s="24"/>
      <c r="X105" s="5"/>
      <c r="Z105" s="5"/>
      <c r="AB105" s="5"/>
      <c r="AD105" s="5"/>
      <c r="AF105" s="6" t="str">
        <f t="shared" si="211"/>
        <v>N</v>
      </c>
      <c r="AG105" s="6" t="s">
        <v>2752</v>
      </c>
      <c r="AH105" t="str">
        <f t="shared" ref="AH105:AL105" si="319">IF(EXACT(AI105,I105)=TRUE,"Y","N")</f>
        <v>N</v>
      </c>
      <c r="AI105" t="s">
        <v>2753</v>
      </c>
      <c r="AJ105" t="str">
        <f t="shared" si="319"/>
        <v>N</v>
      </c>
      <c r="AK105" s="6" t="s">
        <v>2754</v>
      </c>
      <c r="AL105" s="6" t="str">
        <f t="shared" si="319"/>
        <v>N</v>
      </c>
      <c r="AM105" s="6" t="s">
        <v>2755</v>
      </c>
      <c r="AP105" t="str">
        <f t="shared" ref="AP105:AR105" si="320">IF(EXACT(AQ105,Q105)=TRUE,"Y","N")</f>
        <v>N</v>
      </c>
      <c r="AQ105" t="s">
        <v>2756</v>
      </c>
      <c r="AR105" t="str">
        <f t="shared" si="320"/>
        <v>N</v>
      </c>
      <c r="AS105" t="s">
        <v>2757</v>
      </c>
      <c r="AT105" t="str">
        <f t="shared" si="214"/>
        <v>N</v>
      </c>
      <c r="AU105" t="s">
        <v>2758</v>
      </c>
      <c r="AV105" t="str">
        <f t="shared" si="215"/>
        <v>N</v>
      </c>
      <c r="AW105" t="s">
        <v>2759</v>
      </c>
      <c r="AX105" t="str">
        <f t="shared" ref="AX105:BB105" si="321">IF(EXACT(AY105,Y105)=TRUE,"Y","N")</f>
        <v>N</v>
      </c>
      <c r="AY105" t="s">
        <v>2760</v>
      </c>
      <c r="AZ105" t="str">
        <f t="shared" si="321"/>
        <v>N</v>
      </c>
      <c r="BA105" t="s">
        <v>2761</v>
      </c>
      <c r="BB105" t="str">
        <f t="shared" si="321"/>
        <v>N</v>
      </c>
      <c r="BC105" t="s">
        <v>2762</v>
      </c>
    </row>
    <row r="106" spans="1:55" x14ac:dyDescent="0.4">
      <c r="A106" s="7"/>
      <c r="B106" s="7"/>
      <c r="C106" s="7"/>
      <c r="D106" s="7"/>
      <c r="E106" s="7"/>
      <c r="F106" s="7"/>
      <c r="G106" s="24"/>
      <c r="H106" s="5"/>
      <c r="I106" s="24"/>
      <c r="J106" s="5"/>
      <c r="K106" s="24"/>
      <c r="L106" s="5"/>
      <c r="M106" s="27"/>
      <c r="N106" s="5"/>
      <c r="O106" s="27"/>
      <c r="P106" s="5"/>
      <c r="Q106" s="24"/>
      <c r="R106" s="5"/>
      <c r="S106" s="24"/>
      <c r="T106" s="5"/>
      <c r="U106" s="24"/>
      <c r="V106" s="5"/>
      <c r="W106" s="24"/>
      <c r="X106" s="5"/>
      <c r="Z106" s="5"/>
      <c r="AB106" s="5"/>
      <c r="AD106" s="5"/>
      <c r="AF106" s="6" t="str">
        <f t="shared" si="211"/>
        <v>N</v>
      </c>
      <c r="AG106" s="6" t="s">
        <v>2763</v>
      </c>
      <c r="AH106" t="str">
        <f t="shared" ref="AH106:AL106" si="322">IF(EXACT(AI106,I106)=TRUE,"Y","N")</f>
        <v>N</v>
      </c>
      <c r="AI106" t="s">
        <v>2764</v>
      </c>
      <c r="AJ106" t="str">
        <f t="shared" si="322"/>
        <v>N</v>
      </c>
      <c r="AK106" s="6" t="s">
        <v>2765</v>
      </c>
      <c r="AL106" s="6" t="str">
        <f t="shared" si="322"/>
        <v>N</v>
      </c>
      <c r="AM106" s="6" t="s">
        <v>409</v>
      </c>
      <c r="AP106" t="str">
        <f t="shared" ref="AP106:AR106" si="323">IF(EXACT(AQ106,Q106)=TRUE,"Y","N")</f>
        <v>N</v>
      </c>
      <c r="AQ106" t="s">
        <v>2766</v>
      </c>
      <c r="AR106" t="str">
        <f t="shared" si="323"/>
        <v>N</v>
      </c>
      <c r="AS106" t="s">
        <v>2767</v>
      </c>
      <c r="AT106" t="str">
        <f t="shared" si="214"/>
        <v>N</v>
      </c>
      <c r="AU106" t="s">
        <v>2768</v>
      </c>
      <c r="AV106" t="str">
        <f t="shared" si="215"/>
        <v>N</v>
      </c>
      <c r="AW106" t="s">
        <v>2769</v>
      </c>
      <c r="AX106" t="str">
        <f t="shared" ref="AX106:BB106" si="324">IF(EXACT(AY106,Y106)=TRUE,"Y","N")</f>
        <v>N</v>
      </c>
      <c r="AY106" t="s">
        <v>2770</v>
      </c>
      <c r="AZ106" t="str">
        <f t="shared" si="324"/>
        <v>N</v>
      </c>
      <c r="BA106" t="s">
        <v>2771</v>
      </c>
      <c r="BB106" t="str">
        <f t="shared" si="324"/>
        <v>N</v>
      </c>
      <c r="BC106" t="s">
        <v>2772</v>
      </c>
    </row>
    <row r="107" spans="1:55" x14ac:dyDescent="0.4">
      <c r="A107" s="7"/>
      <c r="B107" s="7"/>
      <c r="C107" s="7"/>
      <c r="D107" s="7"/>
      <c r="E107" s="7"/>
      <c r="F107" s="7"/>
      <c r="G107" s="24"/>
      <c r="H107" s="5"/>
      <c r="I107" s="24"/>
      <c r="J107" s="5"/>
      <c r="K107" s="24"/>
      <c r="L107" s="5"/>
      <c r="M107" s="27"/>
      <c r="N107" s="5"/>
      <c r="O107" s="27"/>
      <c r="P107" s="5"/>
      <c r="Q107" s="24"/>
      <c r="R107" s="5"/>
      <c r="S107" s="24"/>
      <c r="T107" s="5"/>
      <c r="U107" s="24"/>
      <c r="V107" s="5"/>
      <c r="W107" s="24"/>
      <c r="X107" s="5"/>
      <c r="Z107" s="5"/>
      <c r="AB107" s="5"/>
      <c r="AD107" s="5"/>
      <c r="AF107" s="6" t="str">
        <f t="shared" si="211"/>
        <v>N</v>
      </c>
      <c r="AG107" s="6" t="s">
        <v>2773</v>
      </c>
      <c r="AH107" t="str">
        <f t="shared" ref="AH107:AL107" si="325">IF(EXACT(AI107,I107)=TRUE,"Y","N")</f>
        <v>N</v>
      </c>
      <c r="AI107" t="s">
        <v>2774</v>
      </c>
      <c r="AJ107" t="str">
        <f t="shared" si="325"/>
        <v>N</v>
      </c>
      <c r="AK107" s="6" t="s">
        <v>2775</v>
      </c>
      <c r="AL107" s="6" t="str">
        <f t="shared" si="325"/>
        <v>N</v>
      </c>
      <c r="AM107" s="6" t="s">
        <v>2776</v>
      </c>
      <c r="AP107" t="str">
        <f t="shared" ref="AP107:AP110" si="326">IF(EXACT(AQ107,Q107)=TRUE,"Y","N")</f>
        <v>N</v>
      </c>
      <c r="AQ107" t="s">
        <v>2777</v>
      </c>
      <c r="AR107" t="str">
        <f t="shared" ref="AR107:AR132" si="327">IF(EXACT(AS107,S107)=TRUE,"Y","N")</f>
        <v>N</v>
      </c>
      <c r="AS107" t="s">
        <v>2778</v>
      </c>
      <c r="AT107" t="str">
        <f t="shared" si="214"/>
        <v>N</v>
      </c>
      <c r="AU107" t="s">
        <v>2779</v>
      </c>
      <c r="AV107" t="str">
        <f t="shared" si="215"/>
        <v>N</v>
      </c>
      <c r="AW107" t="s">
        <v>2780</v>
      </c>
      <c r="AX107" t="str">
        <f t="shared" ref="AX107:AX144" si="328">IF(EXACT(AY107,Y107)=TRUE,"Y","N")</f>
        <v>N</v>
      </c>
      <c r="AY107" t="s">
        <v>2781</v>
      </c>
      <c r="AZ107" t="str">
        <f t="shared" ref="AZ107:AZ129" si="329">IF(EXACT(BA107,AA107)=TRUE,"Y","N")</f>
        <v>N</v>
      </c>
      <c r="BA107" t="s">
        <v>2782</v>
      </c>
      <c r="BB107" t="str">
        <f t="shared" ref="BB107:BB144" si="330">IF(EXACT(BC107,AC107)=TRUE,"Y","N")</f>
        <v>N</v>
      </c>
      <c r="BC107" t="s">
        <v>2783</v>
      </c>
    </row>
    <row r="108" spans="1:55" x14ac:dyDescent="0.4">
      <c r="A108" s="7"/>
      <c r="B108" s="7"/>
      <c r="C108" s="7"/>
      <c r="D108" s="7"/>
      <c r="E108" s="7"/>
      <c r="F108" s="7"/>
      <c r="G108" s="24"/>
      <c r="H108" s="5"/>
      <c r="I108" s="24"/>
      <c r="J108" s="5"/>
      <c r="K108" s="24"/>
      <c r="L108" s="5"/>
      <c r="M108" s="27"/>
      <c r="N108" s="5"/>
      <c r="O108" s="27"/>
      <c r="P108" s="5"/>
      <c r="Q108" s="24"/>
      <c r="R108" s="5"/>
      <c r="S108" s="24"/>
      <c r="T108" s="5"/>
      <c r="U108" s="24"/>
      <c r="V108" s="5"/>
      <c r="W108" s="24"/>
      <c r="X108" s="5"/>
      <c r="Z108" s="5"/>
      <c r="AB108" s="5"/>
      <c r="AD108" s="5"/>
      <c r="AF108" s="6" t="str">
        <f t="shared" si="211"/>
        <v>N</v>
      </c>
      <c r="AG108" s="6" t="s">
        <v>2784</v>
      </c>
      <c r="AH108" t="str">
        <f t="shared" ref="AH108:AJ108" si="331">IF(EXACT(AI108,I108)=TRUE,"Y","N")</f>
        <v>N</v>
      </c>
      <c r="AI108" t="s">
        <v>2785</v>
      </c>
      <c r="AJ108" t="str">
        <f t="shared" si="331"/>
        <v>N</v>
      </c>
      <c r="AK108" s="6" t="s">
        <v>2786</v>
      </c>
      <c r="AP108" t="str">
        <f t="shared" si="326"/>
        <v>N</v>
      </c>
      <c r="AQ108" t="s">
        <v>2787</v>
      </c>
      <c r="AR108" t="str">
        <f t="shared" si="327"/>
        <v>N</v>
      </c>
      <c r="AS108" t="s">
        <v>2788</v>
      </c>
      <c r="AT108" t="str">
        <f t="shared" si="214"/>
        <v>N</v>
      </c>
      <c r="AU108" t="s">
        <v>2789</v>
      </c>
      <c r="AV108" t="str">
        <f t="shared" si="215"/>
        <v>N</v>
      </c>
      <c r="AW108" t="s">
        <v>2790</v>
      </c>
      <c r="AX108" t="str">
        <f t="shared" si="328"/>
        <v>N</v>
      </c>
      <c r="AY108" t="s">
        <v>2791</v>
      </c>
      <c r="AZ108" t="str">
        <f t="shared" si="329"/>
        <v>N</v>
      </c>
      <c r="BA108" t="s">
        <v>2792</v>
      </c>
      <c r="BB108" t="str">
        <f t="shared" si="330"/>
        <v>N</v>
      </c>
      <c r="BC108" t="s">
        <v>2793</v>
      </c>
    </row>
    <row r="109" spans="1:55" x14ac:dyDescent="0.4">
      <c r="A109" s="7"/>
      <c r="B109" s="7"/>
      <c r="C109" s="7"/>
      <c r="D109" s="7"/>
      <c r="E109" s="7"/>
      <c r="F109" s="7"/>
      <c r="G109" s="24"/>
      <c r="H109" s="5"/>
      <c r="I109" s="24"/>
      <c r="J109" s="5"/>
      <c r="K109" s="24"/>
      <c r="L109" s="5"/>
      <c r="M109" s="27"/>
      <c r="N109" s="5"/>
      <c r="O109" s="27"/>
      <c r="P109" s="5"/>
      <c r="Q109" s="24"/>
      <c r="R109" s="5"/>
      <c r="S109" s="24"/>
      <c r="T109" s="5"/>
      <c r="U109" s="24"/>
      <c r="V109" s="5"/>
      <c r="W109" s="24"/>
      <c r="X109" s="5"/>
      <c r="Z109" s="5"/>
      <c r="AB109" s="5"/>
      <c r="AD109" s="5"/>
      <c r="AF109" s="6" t="str">
        <f t="shared" si="211"/>
        <v>N</v>
      </c>
      <c r="AG109" s="6" t="s">
        <v>2794</v>
      </c>
      <c r="AH109" t="str">
        <f t="shared" ref="AH109:AJ109" si="332">IF(EXACT(AI109,I109)=TRUE,"Y","N")</f>
        <v>N</v>
      </c>
      <c r="AI109" t="s">
        <v>2795</v>
      </c>
      <c r="AJ109" t="str">
        <f t="shared" si="332"/>
        <v>N</v>
      </c>
      <c r="AK109" s="6" t="s">
        <v>2796</v>
      </c>
      <c r="AP109" t="str">
        <f t="shared" si="326"/>
        <v>N</v>
      </c>
      <c r="AQ109" t="s">
        <v>2797</v>
      </c>
      <c r="AR109" t="str">
        <f t="shared" si="327"/>
        <v>N</v>
      </c>
      <c r="AS109" t="s">
        <v>2798</v>
      </c>
      <c r="AT109" t="str">
        <f t="shared" si="214"/>
        <v>N</v>
      </c>
      <c r="AU109" t="s">
        <v>2799</v>
      </c>
      <c r="AV109" t="str">
        <f t="shared" si="215"/>
        <v>N</v>
      </c>
      <c r="AW109" t="s">
        <v>2800</v>
      </c>
      <c r="AX109" t="str">
        <f t="shared" si="328"/>
        <v>N</v>
      </c>
      <c r="AY109" t="s">
        <v>2801</v>
      </c>
      <c r="AZ109" t="str">
        <f t="shared" si="329"/>
        <v>N</v>
      </c>
      <c r="BA109" t="s">
        <v>2802</v>
      </c>
      <c r="BB109" t="str">
        <f t="shared" si="330"/>
        <v>N</v>
      </c>
      <c r="BC109" t="s">
        <v>2803</v>
      </c>
    </row>
    <row r="110" spans="1:55" x14ac:dyDescent="0.4">
      <c r="A110" s="7"/>
      <c r="B110" s="7"/>
      <c r="C110" s="7"/>
      <c r="D110" s="7"/>
      <c r="E110" s="7"/>
      <c r="F110" s="7"/>
      <c r="G110" s="24"/>
      <c r="H110" s="5"/>
      <c r="I110" s="24"/>
      <c r="J110" s="5"/>
      <c r="K110" s="24"/>
      <c r="L110" s="5"/>
      <c r="M110" s="27"/>
      <c r="N110" s="5"/>
      <c r="O110" s="27"/>
      <c r="P110" s="5"/>
      <c r="Q110" s="24"/>
      <c r="R110" s="5"/>
      <c r="S110" s="24"/>
      <c r="T110" s="5"/>
      <c r="U110" s="24"/>
      <c r="V110" s="5"/>
      <c r="W110" s="24"/>
      <c r="X110" s="5"/>
      <c r="Z110" s="5"/>
      <c r="AB110" s="5"/>
      <c r="AD110" s="5"/>
      <c r="AF110" s="6" t="str">
        <f t="shared" si="211"/>
        <v>N</v>
      </c>
      <c r="AG110" s="6" t="s">
        <v>2804</v>
      </c>
      <c r="AH110" t="str">
        <f t="shared" ref="AH110:AJ110" si="333">IF(EXACT(AI110,I110)=TRUE,"Y","N")</f>
        <v>N</v>
      </c>
      <c r="AI110" t="s">
        <v>2805</v>
      </c>
      <c r="AJ110" t="str">
        <f t="shared" si="333"/>
        <v>N</v>
      </c>
      <c r="AK110" s="6" t="s">
        <v>2806</v>
      </c>
      <c r="AP110" t="str">
        <f t="shared" si="326"/>
        <v>N</v>
      </c>
      <c r="AQ110" t="s">
        <v>2807</v>
      </c>
      <c r="AR110" t="str">
        <f t="shared" si="327"/>
        <v>N</v>
      </c>
      <c r="AS110" t="s">
        <v>2808</v>
      </c>
      <c r="AT110" t="str">
        <f t="shared" si="214"/>
        <v>N</v>
      </c>
      <c r="AU110" t="s">
        <v>2809</v>
      </c>
      <c r="AV110" t="str">
        <f t="shared" si="215"/>
        <v>N</v>
      </c>
      <c r="AW110" t="s">
        <v>2810</v>
      </c>
      <c r="AX110" t="str">
        <f t="shared" si="328"/>
        <v>N</v>
      </c>
      <c r="AY110" t="s">
        <v>2811</v>
      </c>
      <c r="AZ110" t="str">
        <f t="shared" si="329"/>
        <v>N</v>
      </c>
      <c r="BA110" t="s">
        <v>2812</v>
      </c>
      <c r="BB110" t="str">
        <f t="shared" si="330"/>
        <v>N</v>
      </c>
      <c r="BC110" t="s">
        <v>2813</v>
      </c>
    </row>
    <row r="111" spans="1:55" x14ac:dyDescent="0.4">
      <c r="A111" s="7"/>
      <c r="B111" s="7"/>
      <c r="C111" s="7"/>
      <c r="D111" s="7"/>
      <c r="E111" s="7"/>
      <c r="F111" s="7"/>
      <c r="G111" s="24"/>
      <c r="H111" s="5"/>
      <c r="I111" s="24"/>
      <c r="J111" s="5"/>
      <c r="K111" s="24"/>
      <c r="L111" s="5"/>
      <c r="M111" s="27"/>
      <c r="N111" s="5"/>
      <c r="O111" s="27"/>
      <c r="P111" s="5"/>
      <c r="Q111" s="24"/>
      <c r="R111" s="5"/>
      <c r="S111" s="24"/>
      <c r="T111" s="5"/>
      <c r="U111" s="24"/>
      <c r="V111" s="5"/>
      <c r="W111" s="24"/>
      <c r="X111" s="5"/>
      <c r="Z111" s="5"/>
      <c r="AB111" s="5"/>
      <c r="AD111" s="5"/>
      <c r="AF111" s="6" t="str">
        <f t="shared" si="211"/>
        <v>N</v>
      </c>
      <c r="AG111" s="6" t="s">
        <v>2814</v>
      </c>
      <c r="AH111" t="str">
        <f t="shared" ref="AH111:AJ111" si="334">IF(EXACT(AI111,I111)=TRUE,"Y","N")</f>
        <v>N</v>
      </c>
      <c r="AI111" t="s">
        <v>2815</v>
      </c>
      <c r="AJ111" t="str">
        <f t="shared" si="334"/>
        <v>N</v>
      </c>
      <c r="AK111" s="6" t="s">
        <v>2816</v>
      </c>
      <c r="AR111" t="str">
        <f t="shared" si="327"/>
        <v>N</v>
      </c>
      <c r="AS111" t="s">
        <v>2817</v>
      </c>
      <c r="AT111" t="str">
        <f t="shared" si="214"/>
        <v>N</v>
      </c>
      <c r="AU111" t="s">
        <v>2818</v>
      </c>
      <c r="AV111" t="str">
        <f t="shared" si="215"/>
        <v>N</v>
      </c>
      <c r="AW111" t="s">
        <v>2819</v>
      </c>
      <c r="AX111" t="str">
        <f t="shared" si="328"/>
        <v>N</v>
      </c>
      <c r="AY111" t="s">
        <v>2820</v>
      </c>
      <c r="AZ111" t="str">
        <f t="shared" si="329"/>
        <v>N</v>
      </c>
      <c r="BA111" t="s">
        <v>2821</v>
      </c>
      <c r="BB111" t="str">
        <f t="shared" si="330"/>
        <v>N</v>
      </c>
      <c r="BC111" t="s">
        <v>2822</v>
      </c>
    </row>
    <row r="112" spans="1:55" x14ac:dyDescent="0.4">
      <c r="A112" s="7"/>
      <c r="B112" s="7"/>
      <c r="C112" s="7"/>
      <c r="D112" s="7"/>
      <c r="E112" s="7"/>
      <c r="F112" s="7"/>
      <c r="G112" s="24"/>
      <c r="H112" s="5"/>
      <c r="I112" s="24"/>
      <c r="J112" s="5"/>
      <c r="K112" s="24"/>
      <c r="L112" s="5"/>
      <c r="M112" s="27"/>
      <c r="N112" s="5"/>
      <c r="O112" s="27"/>
      <c r="P112" s="5"/>
      <c r="Q112" s="24"/>
      <c r="R112" s="5"/>
      <c r="S112" s="24"/>
      <c r="T112" s="5"/>
      <c r="U112" s="24"/>
      <c r="V112" s="5"/>
      <c r="W112" s="24"/>
      <c r="X112" s="5"/>
      <c r="Z112" s="5"/>
      <c r="AB112" s="5"/>
      <c r="AD112" s="5"/>
      <c r="AF112" s="6" t="str">
        <f t="shared" si="211"/>
        <v>N</v>
      </c>
      <c r="AG112" s="6" t="s">
        <v>2823</v>
      </c>
      <c r="AH112" t="str">
        <f t="shared" ref="AH112:AJ112" si="335">IF(EXACT(AI112,I112)=TRUE,"Y","N")</f>
        <v>N</v>
      </c>
      <c r="AI112" t="s">
        <v>2824</v>
      </c>
      <c r="AJ112" t="str">
        <f t="shared" si="335"/>
        <v>N</v>
      </c>
      <c r="AK112" s="6" t="s">
        <v>2825</v>
      </c>
      <c r="AR112" t="str">
        <f t="shared" si="327"/>
        <v>N</v>
      </c>
      <c r="AS112" t="s">
        <v>2826</v>
      </c>
      <c r="AT112" t="str">
        <f t="shared" si="214"/>
        <v>N</v>
      </c>
      <c r="AU112" t="s">
        <v>2827</v>
      </c>
      <c r="AV112" t="str">
        <f t="shared" si="215"/>
        <v>N</v>
      </c>
      <c r="AW112" t="s">
        <v>2828</v>
      </c>
      <c r="AX112" t="str">
        <f t="shared" si="328"/>
        <v>N</v>
      </c>
      <c r="AY112" t="s">
        <v>2829</v>
      </c>
      <c r="AZ112" t="str">
        <f t="shared" si="329"/>
        <v>N</v>
      </c>
      <c r="BA112" t="s">
        <v>2830</v>
      </c>
      <c r="BB112" t="str">
        <f t="shared" si="330"/>
        <v>N</v>
      </c>
      <c r="BC112" t="s">
        <v>2831</v>
      </c>
    </row>
    <row r="113" spans="1:55" x14ac:dyDescent="0.4">
      <c r="A113" s="7"/>
      <c r="B113" s="7"/>
      <c r="C113" s="7"/>
      <c r="D113" s="7"/>
      <c r="E113" s="7"/>
      <c r="F113" s="7"/>
      <c r="G113" s="24"/>
      <c r="H113" s="5"/>
      <c r="I113" s="24"/>
      <c r="J113" s="5"/>
      <c r="K113" s="24"/>
      <c r="L113" s="5"/>
      <c r="M113" s="27"/>
      <c r="N113" s="5"/>
      <c r="O113" s="27"/>
      <c r="P113" s="5"/>
      <c r="Q113" s="24"/>
      <c r="R113" s="5"/>
      <c r="S113" s="24"/>
      <c r="T113" s="5"/>
      <c r="U113" s="24"/>
      <c r="V113" s="5"/>
      <c r="W113" s="24"/>
      <c r="X113" s="5"/>
      <c r="Z113" s="5"/>
      <c r="AB113" s="5"/>
      <c r="AD113" s="5"/>
      <c r="AF113" s="6" t="str">
        <f t="shared" si="211"/>
        <v>N</v>
      </c>
      <c r="AG113" s="6" t="s">
        <v>2832</v>
      </c>
      <c r="AH113" t="str">
        <f t="shared" ref="AH113:AJ113" si="336">IF(EXACT(AI113,I113)=TRUE,"Y","N")</f>
        <v>N</v>
      </c>
      <c r="AI113" t="s">
        <v>2833</v>
      </c>
      <c r="AJ113" t="str">
        <f t="shared" si="336"/>
        <v>N</v>
      </c>
      <c r="AK113" s="6" t="s">
        <v>2834</v>
      </c>
      <c r="AR113" t="str">
        <f t="shared" si="327"/>
        <v>N</v>
      </c>
      <c r="AS113" t="s">
        <v>2835</v>
      </c>
      <c r="AT113" t="str">
        <f t="shared" si="214"/>
        <v>N</v>
      </c>
      <c r="AU113" t="s">
        <v>2836</v>
      </c>
      <c r="AV113" t="str">
        <f t="shared" si="215"/>
        <v>N</v>
      </c>
      <c r="AW113" t="s">
        <v>2837</v>
      </c>
      <c r="AX113" t="str">
        <f t="shared" si="328"/>
        <v>N</v>
      </c>
      <c r="AY113" t="s">
        <v>2838</v>
      </c>
      <c r="AZ113" t="str">
        <f t="shared" si="329"/>
        <v>N</v>
      </c>
      <c r="BA113" t="s">
        <v>2839</v>
      </c>
      <c r="BB113" t="str">
        <f t="shared" si="330"/>
        <v>N</v>
      </c>
      <c r="BC113" t="s">
        <v>2840</v>
      </c>
    </row>
    <row r="114" spans="1:55" x14ac:dyDescent="0.4">
      <c r="A114" s="7"/>
      <c r="B114" s="7"/>
      <c r="C114" s="7"/>
      <c r="D114" s="7"/>
      <c r="E114" s="7"/>
      <c r="F114" s="7"/>
      <c r="G114" s="24"/>
      <c r="H114" s="5"/>
      <c r="I114" s="24"/>
      <c r="J114" s="5"/>
      <c r="K114" s="24"/>
      <c r="L114" s="5"/>
      <c r="M114" s="27"/>
      <c r="N114" s="5"/>
      <c r="O114" s="27"/>
      <c r="P114" s="5"/>
      <c r="Q114" s="24"/>
      <c r="R114" s="5"/>
      <c r="S114" s="24"/>
      <c r="T114" s="5"/>
      <c r="U114" s="24"/>
      <c r="V114" s="5"/>
      <c r="W114" s="24"/>
      <c r="X114" s="5"/>
      <c r="Z114" s="5"/>
      <c r="AB114" s="5"/>
      <c r="AD114" s="5"/>
      <c r="AF114" s="6" t="str">
        <f t="shared" si="211"/>
        <v>N</v>
      </c>
      <c r="AG114" s="6" t="s">
        <v>2841</v>
      </c>
      <c r="AJ114" t="str">
        <f>IF(EXACT(AK114,K114)=TRUE,"Y","N")</f>
        <v>N</v>
      </c>
      <c r="AK114" s="6" t="s">
        <v>2842</v>
      </c>
      <c r="AR114" t="str">
        <f t="shared" si="327"/>
        <v>N</v>
      </c>
      <c r="AS114" t="s">
        <v>2843</v>
      </c>
      <c r="AT114" t="str">
        <f t="shared" si="214"/>
        <v>N</v>
      </c>
      <c r="AU114" t="s">
        <v>2844</v>
      </c>
      <c r="AV114" t="str">
        <f t="shared" si="215"/>
        <v>N</v>
      </c>
      <c r="AW114" t="s">
        <v>2845</v>
      </c>
      <c r="AX114" t="str">
        <f t="shared" si="328"/>
        <v>N</v>
      </c>
      <c r="AY114" t="s">
        <v>2846</v>
      </c>
      <c r="AZ114" t="str">
        <f t="shared" si="329"/>
        <v>N</v>
      </c>
      <c r="BA114" t="s">
        <v>2847</v>
      </c>
      <c r="BB114" t="str">
        <f t="shared" si="330"/>
        <v>N</v>
      </c>
      <c r="BC114" t="s">
        <v>2848</v>
      </c>
    </row>
    <row r="115" spans="1:55" x14ac:dyDescent="0.4">
      <c r="A115" s="7"/>
      <c r="B115" s="7"/>
      <c r="C115" s="7"/>
      <c r="D115" s="7"/>
      <c r="E115" s="7"/>
      <c r="F115" s="7"/>
      <c r="G115" s="24"/>
      <c r="H115" s="5"/>
      <c r="I115" s="24"/>
      <c r="J115" s="5"/>
      <c r="K115" s="24"/>
      <c r="L115" s="5"/>
      <c r="M115" s="27"/>
      <c r="N115" s="5"/>
      <c r="O115" s="27"/>
      <c r="P115" s="5"/>
      <c r="Q115" s="24"/>
      <c r="R115" s="5"/>
      <c r="S115" s="24"/>
      <c r="T115" s="5"/>
      <c r="U115" s="24"/>
      <c r="V115" s="5"/>
      <c r="W115" s="24"/>
      <c r="X115" s="5"/>
      <c r="Z115" s="5"/>
      <c r="AB115" s="5"/>
      <c r="AD115" s="5"/>
      <c r="AF115" s="6" t="str">
        <f t="shared" si="211"/>
        <v>N</v>
      </c>
      <c r="AG115" t="s">
        <v>2849</v>
      </c>
      <c r="AJ115" t="str">
        <f>IF(EXACT(AK115,K115)=TRUE,"Y","N")</f>
        <v>N</v>
      </c>
      <c r="AK115" s="6" t="s">
        <v>2850</v>
      </c>
      <c r="AL115" s="6"/>
      <c r="AM115" s="6"/>
      <c r="AR115" t="str">
        <f t="shared" si="327"/>
        <v>N</v>
      </c>
      <c r="AS115" t="s">
        <v>2851</v>
      </c>
      <c r="AT115" t="str">
        <f t="shared" si="214"/>
        <v>N</v>
      </c>
      <c r="AU115" t="s">
        <v>2852</v>
      </c>
      <c r="AV115" t="str">
        <f t="shared" si="215"/>
        <v>N</v>
      </c>
      <c r="AW115" t="s">
        <v>2853</v>
      </c>
      <c r="AX115" t="str">
        <f t="shared" si="328"/>
        <v>N</v>
      </c>
      <c r="AY115" t="s">
        <v>2854</v>
      </c>
      <c r="AZ115" t="str">
        <f t="shared" si="329"/>
        <v>N</v>
      </c>
      <c r="BA115" t="s">
        <v>2855</v>
      </c>
      <c r="BB115" t="str">
        <f t="shared" si="330"/>
        <v>N</v>
      </c>
      <c r="BC115" t="s">
        <v>2856</v>
      </c>
    </row>
    <row r="116" spans="1:55" x14ac:dyDescent="0.4">
      <c r="A116" s="7"/>
      <c r="B116" s="7"/>
      <c r="C116" s="7"/>
      <c r="D116" s="7"/>
      <c r="E116" s="7"/>
      <c r="F116" s="7"/>
      <c r="G116" s="24"/>
      <c r="H116" s="5"/>
      <c r="I116" s="24"/>
      <c r="J116" s="5"/>
      <c r="K116" s="24"/>
      <c r="L116" s="5"/>
      <c r="M116" s="27"/>
      <c r="N116" s="5"/>
      <c r="O116" s="27"/>
      <c r="P116" s="5"/>
      <c r="Q116" s="24"/>
      <c r="R116" s="5"/>
      <c r="S116" s="24"/>
      <c r="T116" s="5"/>
      <c r="U116" s="24"/>
      <c r="V116" s="5"/>
      <c r="W116" s="24"/>
      <c r="X116" s="5"/>
      <c r="Z116" s="5"/>
      <c r="AB116" s="5"/>
      <c r="AD116" s="5"/>
      <c r="AF116" s="6" t="str">
        <f t="shared" si="211"/>
        <v>N</v>
      </c>
      <c r="AG116" t="s">
        <v>2857</v>
      </c>
      <c r="AJ116" t="str">
        <f>IF(EXACT(AK116,K116)=TRUE,"Y","N")</f>
        <v>N</v>
      </c>
      <c r="AK116" s="6" t="s">
        <v>2858</v>
      </c>
      <c r="AL116" s="6"/>
      <c r="AM116" s="6"/>
      <c r="AR116" t="str">
        <f t="shared" si="327"/>
        <v>N</v>
      </c>
      <c r="AS116" t="s">
        <v>2859</v>
      </c>
      <c r="AT116" t="str">
        <f t="shared" si="214"/>
        <v>N</v>
      </c>
      <c r="AU116" t="s">
        <v>2860</v>
      </c>
      <c r="AV116" t="str">
        <f t="shared" si="215"/>
        <v>N</v>
      </c>
      <c r="AW116" t="s">
        <v>2861</v>
      </c>
      <c r="AX116" t="str">
        <f t="shared" si="328"/>
        <v>N</v>
      </c>
      <c r="AY116" t="s">
        <v>2862</v>
      </c>
      <c r="AZ116" t="str">
        <f t="shared" si="329"/>
        <v>N</v>
      </c>
      <c r="BA116" t="s">
        <v>2863</v>
      </c>
      <c r="BB116" t="str">
        <f t="shared" si="330"/>
        <v>N</v>
      </c>
      <c r="BC116" t="s">
        <v>2864</v>
      </c>
    </row>
    <row r="117" spans="1:55" x14ac:dyDescent="0.4">
      <c r="A117" s="7"/>
      <c r="B117" s="7"/>
      <c r="C117" s="7"/>
      <c r="D117" s="7"/>
      <c r="E117" s="7"/>
      <c r="F117" s="7"/>
      <c r="G117" s="24"/>
      <c r="H117" s="5"/>
      <c r="I117" s="24"/>
      <c r="J117" s="5"/>
      <c r="K117" s="24"/>
      <c r="L117" s="30"/>
      <c r="M117" s="27"/>
      <c r="N117" s="5"/>
      <c r="O117" s="27"/>
      <c r="P117" s="5"/>
      <c r="Q117" s="24"/>
      <c r="R117" s="5"/>
      <c r="S117" s="24"/>
      <c r="T117" s="5"/>
      <c r="U117" s="24"/>
      <c r="V117" s="5"/>
      <c r="W117" s="24"/>
      <c r="X117" s="5"/>
      <c r="Z117" s="5"/>
      <c r="AB117" s="5"/>
      <c r="AD117" s="5"/>
      <c r="AK117" s="6"/>
      <c r="AL117" s="6"/>
      <c r="AM117" s="6"/>
      <c r="AR117" t="str">
        <f t="shared" si="327"/>
        <v>N</v>
      </c>
      <c r="AS117" t="s">
        <v>2865</v>
      </c>
      <c r="AT117" t="str">
        <f t="shared" si="214"/>
        <v>N</v>
      </c>
      <c r="AU117" t="s">
        <v>2866</v>
      </c>
      <c r="AV117" t="str">
        <f t="shared" si="215"/>
        <v>N</v>
      </c>
      <c r="AW117" t="s">
        <v>2867</v>
      </c>
      <c r="AX117" t="str">
        <f t="shared" si="328"/>
        <v>N</v>
      </c>
      <c r="AY117" t="s">
        <v>2868</v>
      </c>
      <c r="AZ117" t="str">
        <f t="shared" si="329"/>
        <v>N</v>
      </c>
      <c r="BA117" t="s">
        <v>2869</v>
      </c>
      <c r="BB117" t="str">
        <f t="shared" si="330"/>
        <v>N</v>
      </c>
      <c r="BC117" t="s">
        <v>2870</v>
      </c>
    </row>
    <row r="118" spans="1:55" x14ac:dyDescent="0.4">
      <c r="A118" s="7"/>
      <c r="B118" s="7"/>
      <c r="C118" s="7"/>
      <c r="D118" s="7"/>
      <c r="E118" s="7"/>
      <c r="F118" s="7"/>
      <c r="G118" s="24"/>
      <c r="H118" s="5"/>
      <c r="I118" s="24"/>
      <c r="J118" s="5"/>
      <c r="K118" s="24"/>
      <c r="L118" s="30"/>
      <c r="M118" s="27"/>
      <c r="N118" s="5"/>
      <c r="O118" s="27"/>
      <c r="P118" s="5"/>
      <c r="Q118" s="24"/>
      <c r="R118" s="5"/>
      <c r="S118" s="24"/>
      <c r="T118" s="5"/>
      <c r="U118" s="24"/>
      <c r="V118" s="5"/>
      <c r="W118" s="24"/>
      <c r="X118" s="5"/>
      <c r="Z118" s="5"/>
      <c r="AB118" s="5"/>
      <c r="AD118" s="5"/>
      <c r="AK118" s="6"/>
      <c r="AL118" s="6"/>
      <c r="AM118" s="6"/>
      <c r="AR118" t="str">
        <f t="shared" si="327"/>
        <v>N</v>
      </c>
      <c r="AS118" t="s">
        <v>2871</v>
      </c>
      <c r="AT118" t="str">
        <f t="shared" si="214"/>
        <v>N</v>
      </c>
      <c r="AU118" t="s">
        <v>2872</v>
      </c>
      <c r="AV118" t="str">
        <f t="shared" si="215"/>
        <v>N</v>
      </c>
      <c r="AW118" t="s">
        <v>2873</v>
      </c>
      <c r="AX118" t="str">
        <f t="shared" si="328"/>
        <v>N</v>
      </c>
      <c r="AY118" t="s">
        <v>2874</v>
      </c>
      <c r="AZ118" t="str">
        <f t="shared" si="329"/>
        <v>N</v>
      </c>
      <c r="BA118" t="s">
        <v>2875</v>
      </c>
      <c r="BB118" t="str">
        <f t="shared" si="330"/>
        <v>N</v>
      </c>
      <c r="BC118" t="s">
        <v>1443</v>
      </c>
    </row>
    <row r="119" spans="1:55" x14ac:dyDescent="0.4">
      <c r="A119" s="7"/>
      <c r="B119" s="7"/>
      <c r="C119" s="7"/>
      <c r="D119" s="7"/>
      <c r="E119" s="7"/>
      <c r="F119" s="7"/>
      <c r="G119" s="24"/>
      <c r="H119" s="30"/>
      <c r="I119" s="24"/>
      <c r="J119" s="5"/>
      <c r="K119" s="24"/>
      <c r="L119" s="30"/>
      <c r="M119" s="27"/>
      <c r="N119" s="5"/>
      <c r="O119" s="27"/>
      <c r="P119" s="5"/>
      <c r="Q119" s="24"/>
      <c r="R119" s="5"/>
      <c r="S119" s="24"/>
      <c r="T119" s="5"/>
      <c r="U119" s="24"/>
      <c r="V119" s="5"/>
      <c r="W119" s="24"/>
      <c r="X119" s="5"/>
      <c r="Z119" s="5"/>
      <c r="AB119" s="5"/>
      <c r="AD119" s="5"/>
      <c r="AK119" s="6"/>
      <c r="AL119" s="6"/>
      <c r="AM119" s="6"/>
      <c r="AR119" t="str">
        <f t="shared" si="327"/>
        <v>N</v>
      </c>
      <c r="AS119" t="s">
        <v>2876</v>
      </c>
      <c r="AT119" t="str">
        <f t="shared" si="214"/>
        <v>N</v>
      </c>
      <c r="AU119" t="s">
        <v>2877</v>
      </c>
      <c r="AV119" t="str">
        <f t="shared" si="215"/>
        <v>N</v>
      </c>
      <c r="AW119" t="s">
        <v>2878</v>
      </c>
      <c r="AX119" t="str">
        <f t="shared" si="328"/>
        <v>N</v>
      </c>
      <c r="AY119" t="s">
        <v>2879</v>
      </c>
      <c r="AZ119" t="str">
        <f t="shared" si="329"/>
        <v>N</v>
      </c>
      <c r="BA119" t="s">
        <v>2880</v>
      </c>
      <c r="BB119" t="str">
        <f t="shared" si="330"/>
        <v>N</v>
      </c>
      <c r="BC119" t="s">
        <v>1461</v>
      </c>
    </row>
    <row r="120" spans="1:55" x14ac:dyDescent="0.4">
      <c r="A120" s="7"/>
      <c r="B120" s="7"/>
      <c r="C120" s="7"/>
      <c r="D120" s="7"/>
      <c r="E120" s="7"/>
      <c r="F120" s="7"/>
      <c r="G120" s="24"/>
      <c r="H120" s="30"/>
      <c r="I120" s="24"/>
      <c r="J120" s="5"/>
      <c r="K120" s="24"/>
      <c r="L120" s="30"/>
      <c r="M120" s="27"/>
      <c r="N120" s="5"/>
      <c r="O120" s="27"/>
      <c r="P120" s="5"/>
      <c r="Q120" s="24"/>
      <c r="R120" s="5"/>
      <c r="S120" s="24"/>
      <c r="T120" s="5"/>
      <c r="U120" s="24"/>
      <c r="V120" s="5"/>
      <c r="W120" s="24"/>
      <c r="X120" s="5"/>
      <c r="Z120" s="5"/>
      <c r="AB120" s="5"/>
      <c r="AD120" s="5"/>
      <c r="AK120" s="6"/>
      <c r="AL120" s="6"/>
      <c r="AM120" s="6"/>
      <c r="AR120" t="str">
        <f t="shared" si="327"/>
        <v>N</v>
      </c>
      <c r="AS120" t="s">
        <v>2881</v>
      </c>
      <c r="AT120" t="str">
        <f t="shared" si="214"/>
        <v>N</v>
      </c>
      <c r="AU120" t="s">
        <v>2882</v>
      </c>
      <c r="AV120" t="str">
        <f t="shared" si="215"/>
        <v>N</v>
      </c>
      <c r="AW120" t="s">
        <v>2883</v>
      </c>
      <c r="AX120" t="str">
        <f t="shared" si="328"/>
        <v>N</v>
      </c>
      <c r="AY120" t="s">
        <v>2884</v>
      </c>
      <c r="AZ120" t="str">
        <f t="shared" si="329"/>
        <v>N</v>
      </c>
      <c r="BA120" t="s">
        <v>2885</v>
      </c>
      <c r="BB120" t="str">
        <f t="shared" si="330"/>
        <v>N</v>
      </c>
      <c r="BC120" t="s">
        <v>2886</v>
      </c>
    </row>
    <row r="121" spans="1:55" x14ac:dyDescent="0.4">
      <c r="A121" s="7"/>
      <c r="B121" s="7"/>
      <c r="C121" s="7"/>
      <c r="D121" s="7"/>
      <c r="E121" s="7"/>
      <c r="F121" s="7"/>
      <c r="G121" s="24"/>
      <c r="H121" s="30"/>
      <c r="I121" s="24"/>
      <c r="J121" s="5"/>
      <c r="K121" s="24"/>
      <c r="L121" s="30"/>
      <c r="M121" s="27"/>
      <c r="N121" s="5"/>
      <c r="O121" s="27"/>
      <c r="P121" s="5"/>
      <c r="Q121" s="24"/>
      <c r="R121" s="5"/>
      <c r="S121" s="24"/>
      <c r="T121" s="5"/>
      <c r="U121" s="24"/>
      <c r="V121" s="5"/>
      <c r="W121" s="24"/>
      <c r="X121" s="5"/>
      <c r="Z121" s="5"/>
      <c r="AB121" s="5"/>
      <c r="AD121" s="5"/>
      <c r="AK121" s="6"/>
      <c r="AL121" s="6"/>
      <c r="AM121" s="6"/>
      <c r="AR121" t="str">
        <f t="shared" si="327"/>
        <v>N</v>
      </c>
      <c r="AS121" t="s">
        <v>2887</v>
      </c>
      <c r="AT121" t="str">
        <f t="shared" si="214"/>
        <v>N</v>
      </c>
      <c r="AU121" t="s">
        <v>2888</v>
      </c>
      <c r="AV121" t="str">
        <f t="shared" si="215"/>
        <v>N</v>
      </c>
      <c r="AW121" t="s">
        <v>2889</v>
      </c>
      <c r="AX121" t="str">
        <f t="shared" si="328"/>
        <v>N</v>
      </c>
      <c r="AY121" t="s">
        <v>2890</v>
      </c>
      <c r="AZ121" t="str">
        <f t="shared" si="329"/>
        <v>N</v>
      </c>
      <c r="BA121" t="s">
        <v>2891</v>
      </c>
      <c r="BB121" t="str">
        <f t="shared" si="330"/>
        <v>N</v>
      </c>
      <c r="BC121" t="s">
        <v>2892</v>
      </c>
    </row>
    <row r="122" spans="1:55" x14ac:dyDescent="0.4">
      <c r="A122" s="7"/>
      <c r="B122" s="7"/>
      <c r="C122" s="7"/>
      <c r="D122" s="7"/>
      <c r="E122" s="7"/>
      <c r="F122" s="7"/>
      <c r="G122" s="24"/>
      <c r="H122" s="30"/>
      <c r="I122" s="24"/>
      <c r="J122" s="5"/>
      <c r="K122" s="24"/>
      <c r="L122" s="30"/>
      <c r="M122" s="27"/>
      <c r="N122" s="5"/>
      <c r="O122" s="27"/>
      <c r="P122" s="5"/>
      <c r="Q122" s="24"/>
      <c r="R122" s="5"/>
      <c r="S122" s="24"/>
      <c r="T122" s="5"/>
      <c r="U122" s="24"/>
      <c r="V122" s="5"/>
      <c r="W122" s="24"/>
      <c r="X122" s="5"/>
      <c r="Z122" s="5"/>
      <c r="AB122" s="5"/>
      <c r="AD122" s="5"/>
      <c r="AK122" s="6"/>
      <c r="AL122" s="6"/>
      <c r="AM122" s="6"/>
      <c r="AR122" t="str">
        <f t="shared" si="327"/>
        <v>N</v>
      </c>
      <c r="AS122" t="s">
        <v>2893</v>
      </c>
      <c r="AT122" t="str">
        <f t="shared" si="214"/>
        <v>N</v>
      </c>
      <c r="AU122" t="s">
        <v>2894</v>
      </c>
      <c r="AV122" t="str">
        <f t="shared" si="215"/>
        <v>N</v>
      </c>
      <c r="AW122" t="s">
        <v>2895</v>
      </c>
      <c r="AX122" t="str">
        <f t="shared" si="328"/>
        <v>N</v>
      </c>
      <c r="AY122" t="s">
        <v>2896</v>
      </c>
      <c r="AZ122" t="str">
        <f t="shared" si="329"/>
        <v>N</v>
      </c>
      <c r="BA122" t="s">
        <v>2897</v>
      </c>
      <c r="BB122" t="str">
        <f t="shared" si="330"/>
        <v>N</v>
      </c>
      <c r="BC122" t="s">
        <v>2898</v>
      </c>
    </row>
    <row r="123" spans="1:55" x14ac:dyDescent="0.4">
      <c r="A123" s="7"/>
      <c r="B123" s="7"/>
      <c r="C123" s="7"/>
      <c r="D123" s="7"/>
      <c r="E123" s="7"/>
      <c r="F123" s="7"/>
      <c r="G123" s="24"/>
      <c r="H123" s="30"/>
      <c r="I123" s="24"/>
      <c r="J123" s="5"/>
      <c r="K123" s="24"/>
      <c r="L123" s="30"/>
      <c r="M123" s="27"/>
      <c r="N123" s="5"/>
      <c r="O123" s="27"/>
      <c r="P123" s="5"/>
      <c r="Q123" s="24"/>
      <c r="R123" s="5"/>
      <c r="S123" s="24"/>
      <c r="T123" s="5"/>
      <c r="U123" s="24"/>
      <c r="V123" s="5"/>
      <c r="W123" s="24"/>
      <c r="X123" s="5"/>
      <c r="Z123" s="5"/>
      <c r="AB123" s="5"/>
      <c r="AD123" s="5"/>
      <c r="AK123" s="6"/>
      <c r="AL123" s="6"/>
      <c r="AM123" s="6"/>
      <c r="AR123" t="str">
        <f t="shared" si="327"/>
        <v>N</v>
      </c>
      <c r="AS123" t="s">
        <v>250</v>
      </c>
      <c r="AT123" t="str">
        <f t="shared" si="214"/>
        <v>N</v>
      </c>
      <c r="AU123" t="s">
        <v>2899</v>
      </c>
      <c r="AV123" t="str">
        <f t="shared" si="215"/>
        <v>N</v>
      </c>
      <c r="AW123" t="s">
        <v>2900</v>
      </c>
      <c r="AX123" t="str">
        <f t="shared" si="328"/>
        <v>N</v>
      </c>
      <c r="AY123" t="s">
        <v>2901</v>
      </c>
      <c r="AZ123" t="str">
        <f t="shared" si="329"/>
        <v>N</v>
      </c>
      <c r="BA123" t="s">
        <v>2902</v>
      </c>
      <c r="BB123" t="str">
        <f t="shared" si="330"/>
        <v>N</v>
      </c>
      <c r="BC123" t="s">
        <v>2903</v>
      </c>
    </row>
    <row r="124" spans="1:55" x14ac:dyDescent="0.4">
      <c r="A124" s="7"/>
      <c r="B124" s="7"/>
      <c r="C124" s="7"/>
      <c r="D124" s="7"/>
      <c r="E124" s="7"/>
      <c r="F124" s="7"/>
      <c r="G124" s="24"/>
      <c r="H124" s="30"/>
      <c r="I124" s="24"/>
      <c r="J124" s="5"/>
      <c r="K124" s="24"/>
      <c r="L124" s="30"/>
      <c r="M124" s="27"/>
      <c r="N124" s="5"/>
      <c r="O124" s="27"/>
      <c r="P124" s="5"/>
      <c r="Q124" s="24"/>
      <c r="R124" s="30"/>
      <c r="S124" s="24"/>
      <c r="T124" s="5"/>
      <c r="U124" s="24"/>
      <c r="V124" s="5"/>
      <c r="W124" s="24"/>
      <c r="X124" s="5"/>
      <c r="Z124" s="5"/>
      <c r="AB124" s="5"/>
      <c r="AD124" s="5"/>
      <c r="AK124" s="6"/>
      <c r="AL124" s="6"/>
      <c r="AM124" s="6"/>
      <c r="AR124" t="str">
        <f t="shared" si="327"/>
        <v>N</v>
      </c>
      <c r="AS124" t="s">
        <v>2904</v>
      </c>
      <c r="AT124" t="str">
        <f t="shared" si="214"/>
        <v>N</v>
      </c>
      <c r="AU124" t="s">
        <v>2905</v>
      </c>
      <c r="AV124" t="str">
        <f t="shared" si="215"/>
        <v>N</v>
      </c>
      <c r="AW124" t="s">
        <v>2906</v>
      </c>
      <c r="AX124" t="str">
        <f t="shared" si="328"/>
        <v>N</v>
      </c>
      <c r="AY124" t="s">
        <v>2907</v>
      </c>
      <c r="AZ124" t="str">
        <f t="shared" si="329"/>
        <v>N</v>
      </c>
      <c r="BA124" t="s">
        <v>2908</v>
      </c>
      <c r="BB124" t="str">
        <f t="shared" si="330"/>
        <v>N</v>
      </c>
      <c r="BC124" t="s">
        <v>2909</v>
      </c>
    </row>
    <row r="125" spans="1:55" x14ac:dyDescent="0.4">
      <c r="A125" s="7"/>
      <c r="B125" s="7"/>
      <c r="C125" s="7"/>
      <c r="D125" s="7"/>
      <c r="E125" s="7"/>
      <c r="F125" s="7"/>
      <c r="G125" s="24"/>
      <c r="H125" s="30"/>
      <c r="I125" s="24"/>
      <c r="J125" s="5"/>
      <c r="K125" s="24"/>
      <c r="L125" s="30"/>
      <c r="M125" s="27"/>
      <c r="N125" s="5"/>
      <c r="O125" s="27"/>
      <c r="P125" s="5"/>
      <c r="Q125" s="24"/>
      <c r="R125" s="30"/>
      <c r="S125" s="24"/>
      <c r="T125" s="5"/>
      <c r="U125" s="24"/>
      <c r="V125" s="5"/>
      <c r="W125" s="24"/>
      <c r="X125" s="5"/>
      <c r="Z125" s="5"/>
      <c r="AB125" s="5"/>
      <c r="AD125" s="5"/>
      <c r="AK125" s="6"/>
      <c r="AL125" s="6"/>
      <c r="AM125" s="6"/>
      <c r="AR125" t="str">
        <f t="shared" si="327"/>
        <v>N</v>
      </c>
      <c r="AS125" t="s">
        <v>2910</v>
      </c>
      <c r="AT125" t="str">
        <f t="shared" si="214"/>
        <v>N</v>
      </c>
      <c r="AU125" t="s">
        <v>2911</v>
      </c>
      <c r="AV125" t="str">
        <f t="shared" si="215"/>
        <v>N</v>
      </c>
      <c r="AW125" t="s">
        <v>2912</v>
      </c>
      <c r="AX125" t="str">
        <f t="shared" si="328"/>
        <v>N</v>
      </c>
      <c r="AY125" t="s">
        <v>2913</v>
      </c>
      <c r="AZ125" t="str">
        <f t="shared" si="329"/>
        <v>N</v>
      </c>
      <c r="BA125" t="s">
        <v>2914</v>
      </c>
      <c r="BB125" t="str">
        <f t="shared" si="330"/>
        <v>N</v>
      </c>
      <c r="BC125" t="s">
        <v>2915</v>
      </c>
    </row>
    <row r="126" spans="1:55" x14ac:dyDescent="0.4">
      <c r="A126" s="7"/>
      <c r="B126" s="7"/>
      <c r="C126" s="7"/>
      <c r="D126" s="7"/>
      <c r="E126" s="7"/>
      <c r="F126" s="7"/>
      <c r="G126" s="24"/>
      <c r="H126" s="30"/>
      <c r="I126" s="24"/>
      <c r="J126" s="5"/>
      <c r="K126" s="24"/>
      <c r="L126" s="30"/>
      <c r="M126" s="27"/>
      <c r="N126" s="5"/>
      <c r="O126" s="27"/>
      <c r="P126" s="5"/>
      <c r="Q126" s="24"/>
      <c r="R126" s="30"/>
      <c r="S126" s="24"/>
      <c r="T126" s="5"/>
      <c r="U126" s="24"/>
      <c r="V126" s="5"/>
      <c r="W126" s="24"/>
      <c r="X126" s="5"/>
      <c r="Z126" s="5"/>
      <c r="AB126" s="5"/>
      <c r="AD126" s="5"/>
      <c r="AK126" s="6"/>
      <c r="AL126" s="6"/>
      <c r="AM126" s="6"/>
      <c r="AR126" t="str">
        <f t="shared" si="327"/>
        <v>N</v>
      </c>
      <c r="AS126" t="s">
        <v>1329</v>
      </c>
      <c r="AT126" t="str">
        <f t="shared" si="214"/>
        <v>N</v>
      </c>
      <c r="AU126" t="s">
        <v>2916</v>
      </c>
      <c r="AV126" t="str">
        <f t="shared" si="215"/>
        <v>N</v>
      </c>
      <c r="AW126" t="s">
        <v>2917</v>
      </c>
      <c r="AX126" t="str">
        <f t="shared" si="328"/>
        <v>N</v>
      </c>
      <c r="AY126" t="s">
        <v>2918</v>
      </c>
      <c r="AZ126" t="str">
        <f t="shared" si="329"/>
        <v>N</v>
      </c>
      <c r="BA126" t="s">
        <v>2919</v>
      </c>
      <c r="BB126" t="str">
        <f t="shared" si="330"/>
        <v>N</v>
      </c>
      <c r="BC126" t="s">
        <v>2920</v>
      </c>
    </row>
    <row r="127" spans="1:55" x14ac:dyDescent="0.4">
      <c r="A127" s="7"/>
      <c r="B127" s="7"/>
      <c r="C127" s="7"/>
      <c r="D127" s="7"/>
      <c r="E127" s="7"/>
      <c r="F127" s="7"/>
      <c r="G127" s="24"/>
      <c r="H127" s="30"/>
      <c r="I127" s="24"/>
      <c r="J127" s="5"/>
      <c r="K127" s="24"/>
      <c r="L127" s="30"/>
      <c r="M127" s="27"/>
      <c r="N127" s="5"/>
      <c r="O127" s="27"/>
      <c r="P127" s="5"/>
      <c r="Q127" s="24"/>
      <c r="R127" s="30"/>
      <c r="S127" s="24"/>
      <c r="T127" s="5"/>
      <c r="U127" s="24"/>
      <c r="V127" s="5"/>
      <c r="W127" s="24"/>
      <c r="X127" s="5"/>
      <c r="Z127" s="5"/>
      <c r="AB127" s="5"/>
      <c r="AD127" s="5"/>
      <c r="AK127" s="6"/>
      <c r="AL127" s="6"/>
      <c r="AM127" s="6"/>
      <c r="AR127" t="str">
        <f t="shared" si="327"/>
        <v>N</v>
      </c>
      <c r="AS127" t="s">
        <v>2921</v>
      </c>
      <c r="AT127" t="str">
        <f t="shared" si="214"/>
        <v>N</v>
      </c>
      <c r="AU127" t="s">
        <v>2922</v>
      </c>
      <c r="AV127" t="str">
        <f t="shared" si="215"/>
        <v>N</v>
      </c>
      <c r="AW127" t="s">
        <v>2923</v>
      </c>
      <c r="AX127" t="str">
        <f t="shared" si="328"/>
        <v>N</v>
      </c>
      <c r="AY127" t="s">
        <v>2924</v>
      </c>
      <c r="AZ127" t="str">
        <f t="shared" si="329"/>
        <v>N</v>
      </c>
      <c r="BA127" t="s">
        <v>2925</v>
      </c>
      <c r="BB127" t="str">
        <f t="shared" si="330"/>
        <v>N</v>
      </c>
      <c r="BC127" t="s">
        <v>2926</v>
      </c>
    </row>
    <row r="128" spans="1:55" x14ac:dyDescent="0.4">
      <c r="A128" s="7"/>
      <c r="B128" s="7"/>
      <c r="C128" s="7"/>
      <c r="D128" s="7"/>
      <c r="E128" s="7"/>
      <c r="F128" s="7"/>
      <c r="G128" s="24"/>
      <c r="H128" s="30"/>
      <c r="I128" s="24"/>
      <c r="J128" s="5"/>
      <c r="K128" s="24"/>
      <c r="L128" s="30"/>
      <c r="M128" s="27"/>
      <c r="N128" s="5"/>
      <c r="O128" s="27"/>
      <c r="P128" s="5"/>
      <c r="Q128" s="24"/>
      <c r="R128" s="30"/>
      <c r="S128" s="24"/>
      <c r="T128" s="5"/>
      <c r="U128" s="24"/>
      <c r="V128" s="5"/>
      <c r="W128" s="24"/>
      <c r="X128" s="5"/>
      <c r="Z128" s="5"/>
      <c r="AB128" s="5"/>
      <c r="AD128" s="5"/>
      <c r="AK128" s="6"/>
      <c r="AL128" s="6"/>
      <c r="AM128" s="6"/>
      <c r="AR128" t="str">
        <f t="shared" si="327"/>
        <v>N</v>
      </c>
      <c r="AS128" t="s">
        <v>2927</v>
      </c>
      <c r="AT128" t="str">
        <f t="shared" si="214"/>
        <v>N</v>
      </c>
      <c r="AU128" t="s">
        <v>2928</v>
      </c>
      <c r="AV128" t="str">
        <f t="shared" si="215"/>
        <v>N</v>
      </c>
      <c r="AW128" t="s">
        <v>2929</v>
      </c>
      <c r="AX128" t="str">
        <f t="shared" si="328"/>
        <v>N</v>
      </c>
      <c r="AY128" t="s">
        <v>2930</v>
      </c>
      <c r="AZ128" t="str">
        <f t="shared" si="329"/>
        <v>N</v>
      </c>
      <c r="BA128" t="s">
        <v>2931</v>
      </c>
      <c r="BB128" t="str">
        <f t="shared" si="330"/>
        <v>N</v>
      </c>
      <c r="BC128" t="s">
        <v>2932</v>
      </c>
    </row>
    <row r="129" spans="1:55" x14ac:dyDescent="0.4">
      <c r="A129" s="7"/>
      <c r="B129" s="7"/>
      <c r="C129" s="7"/>
      <c r="D129" s="7"/>
      <c r="E129" s="7"/>
      <c r="F129" s="7"/>
      <c r="G129" s="24"/>
      <c r="H129" s="30"/>
      <c r="I129" s="24"/>
      <c r="J129" s="5"/>
      <c r="K129" s="24"/>
      <c r="L129" s="30"/>
      <c r="M129" s="27"/>
      <c r="N129" s="5"/>
      <c r="O129" s="27"/>
      <c r="P129" s="5"/>
      <c r="Q129" s="24"/>
      <c r="R129" s="30"/>
      <c r="S129" s="24"/>
      <c r="T129" s="5"/>
      <c r="U129" s="24"/>
      <c r="V129" s="5"/>
      <c r="W129" s="24"/>
      <c r="X129" s="5"/>
      <c r="Z129" s="5"/>
      <c r="AB129" s="5"/>
      <c r="AD129" s="5"/>
      <c r="AK129" s="6"/>
      <c r="AL129" s="6"/>
      <c r="AM129" s="6"/>
      <c r="AR129" t="str">
        <f t="shared" si="327"/>
        <v>N</v>
      </c>
      <c r="AS129" t="s">
        <v>2933</v>
      </c>
      <c r="AT129" t="str">
        <f t="shared" si="214"/>
        <v>N</v>
      </c>
      <c r="AU129" t="s">
        <v>2934</v>
      </c>
      <c r="AV129" t="str">
        <f t="shared" si="215"/>
        <v>N</v>
      </c>
      <c r="AW129" t="s">
        <v>2935</v>
      </c>
      <c r="AX129" t="str">
        <f t="shared" si="328"/>
        <v>N</v>
      </c>
      <c r="AY129" t="s">
        <v>2936</v>
      </c>
      <c r="AZ129" t="str">
        <f t="shared" si="329"/>
        <v>N</v>
      </c>
      <c r="BA129" t="s">
        <v>2937</v>
      </c>
      <c r="BB129" t="str">
        <f t="shared" si="330"/>
        <v>N</v>
      </c>
      <c r="BC129" t="s">
        <v>2938</v>
      </c>
    </row>
    <row r="130" spans="1:55" x14ac:dyDescent="0.4">
      <c r="A130" s="7"/>
      <c r="B130" s="7"/>
      <c r="C130" s="7"/>
      <c r="D130" s="7"/>
      <c r="E130" s="7"/>
      <c r="F130" s="7"/>
      <c r="G130" s="24"/>
      <c r="H130" s="30"/>
      <c r="I130" s="24"/>
      <c r="J130" s="5"/>
      <c r="K130" s="24"/>
      <c r="L130" s="30"/>
      <c r="M130" s="27"/>
      <c r="N130" s="5"/>
      <c r="O130" s="27"/>
      <c r="P130" s="5"/>
      <c r="Q130" s="24"/>
      <c r="R130" s="30"/>
      <c r="S130" s="24"/>
      <c r="T130" s="5"/>
      <c r="U130" s="24"/>
      <c r="V130" s="5"/>
      <c r="W130" s="24"/>
      <c r="X130" s="5"/>
      <c r="Z130" s="5"/>
      <c r="AB130" s="5"/>
      <c r="AD130" s="5"/>
      <c r="AK130" s="6"/>
      <c r="AL130" s="6"/>
      <c r="AM130" s="6"/>
      <c r="AR130" t="str">
        <f t="shared" si="327"/>
        <v>N</v>
      </c>
      <c r="AS130" t="s">
        <v>2939</v>
      </c>
      <c r="AT130" t="str">
        <f t="shared" si="214"/>
        <v>N</v>
      </c>
      <c r="AU130" t="s">
        <v>2940</v>
      </c>
      <c r="AV130" t="str">
        <f t="shared" si="215"/>
        <v>N</v>
      </c>
      <c r="AW130" t="s">
        <v>2941</v>
      </c>
      <c r="AX130" t="str">
        <f t="shared" si="328"/>
        <v>N</v>
      </c>
      <c r="AY130" t="s">
        <v>2942</v>
      </c>
      <c r="BB130" t="str">
        <f t="shared" si="330"/>
        <v>N</v>
      </c>
      <c r="BC130" t="s">
        <v>158</v>
      </c>
    </row>
    <row r="131" spans="1:55" x14ac:dyDescent="0.4">
      <c r="A131" s="7"/>
      <c r="B131" s="7"/>
      <c r="C131" s="7"/>
      <c r="D131" s="7"/>
      <c r="E131" s="7"/>
      <c r="F131" s="7"/>
      <c r="G131" s="24"/>
      <c r="H131" s="30"/>
      <c r="I131" s="24"/>
      <c r="J131" s="5"/>
      <c r="K131" s="24"/>
      <c r="L131" s="30"/>
      <c r="M131" s="27"/>
      <c r="N131" s="5"/>
      <c r="O131" s="27"/>
      <c r="P131" s="5"/>
      <c r="Q131" s="24"/>
      <c r="R131" s="30"/>
      <c r="S131" s="24"/>
      <c r="T131" s="5"/>
      <c r="U131" s="24"/>
      <c r="V131" s="5"/>
      <c r="W131" s="24"/>
      <c r="X131" s="5"/>
      <c r="Z131" s="5"/>
      <c r="AB131" s="5"/>
      <c r="AD131" s="5"/>
      <c r="AK131" s="6"/>
      <c r="AL131" s="6"/>
      <c r="AM131" s="6"/>
      <c r="AR131" t="str">
        <f t="shared" si="327"/>
        <v>N</v>
      </c>
      <c r="AS131" t="s">
        <v>2943</v>
      </c>
      <c r="AT131" t="str">
        <f t="shared" si="214"/>
        <v>N</v>
      </c>
      <c r="AU131" t="s">
        <v>2944</v>
      </c>
      <c r="AV131" t="str">
        <f t="shared" si="215"/>
        <v>N</v>
      </c>
      <c r="AW131" t="s">
        <v>2945</v>
      </c>
      <c r="AX131" t="str">
        <f t="shared" si="328"/>
        <v>N</v>
      </c>
      <c r="AY131" t="s">
        <v>2946</v>
      </c>
      <c r="BB131" t="str">
        <f t="shared" si="330"/>
        <v>N</v>
      </c>
      <c r="BC131" t="s">
        <v>2947</v>
      </c>
    </row>
    <row r="132" spans="1:55" x14ac:dyDescent="0.4">
      <c r="A132" s="7"/>
      <c r="B132" s="7"/>
      <c r="C132" s="7"/>
      <c r="D132" s="7"/>
      <c r="E132" s="7"/>
      <c r="F132" s="7"/>
      <c r="G132" s="24"/>
      <c r="H132" s="30"/>
      <c r="I132" s="24"/>
      <c r="J132" s="5"/>
      <c r="K132" s="24"/>
      <c r="L132" s="30"/>
      <c r="M132" s="27"/>
      <c r="N132" s="5"/>
      <c r="O132" s="27"/>
      <c r="P132" s="5"/>
      <c r="Q132" s="24"/>
      <c r="R132" s="30"/>
      <c r="S132" s="24"/>
      <c r="T132" s="5"/>
      <c r="U132" s="24"/>
      <c r="V132" s="5"/>
      <c r="W132" s="24"/>
      <c r="X132" s="5"/>
      <c r="Z132" s="5"/>
      <c r="AB132" s="5"/>
      <c r="AD132" s="5"/>
      <c r="AK132" s="6"/>
      <c r="AL132" s="6"/>
      <c r="AM132" s="6"/>
      <c r="AR132" t="str">
        <f t="shared" si="327"/>
        <v>N</v>
      </c>
      <c r="AS132" t="s">
        <v>2948</v>
      </c>
      <c r="AT132" t="str">
        <f t="shared" si="214"/>
        <v>N</v>
      </c>
      <c r="AU132" t="s">
        <v>2949</v>
      </c>
      <c r="AV132" t="str">
        <f t="shared" si="215"/>
        <v>N</v>
      </c>
      <c r="AW132" t="s">
        <v>2950</v>
      </c>
      <c r="AX132" t="str">
        <f t="shared" si="328"/>
        <v>N</v>
      </c>
      <c r="AY132" t="s">
        <v>2951</v>
      </c>
      <c r="BB132" t="str">
        <f t="shared" si="330"/>
        <v>N</v>
      </c>
      <c r="BC132" t="s">
        <v>2952</v>
      </c>
    </row>
    <row r="133" spans="1:55" x14ac:dyDescent="0.4">
      <c r="A133" s="7"/>
      <c r="B133" s="7"/>
      <c r="C133" s="7"/>
      <c r="D133" s="7"/>
      <c r="E133" s="7"/>
      <c r="F133" s="7"/>
      <c r="G133" s="24"/>
      <c r="H133" s="30"/>
      <c r="I133" s="24"/>
      <c r="J133" s="5"/>
      <c r="K133" s="24"/>
      <c r="L133" s="30"/>
      <c r="M133" s="27"/>
      <c r="N133" s="5"/>
      <c r="O133" s="27"/>
      <c r="P133" s="5"/>
      <c r="Q133" s="24"/>
      <c r="R133" s="30"/>
      <c r="S133" s="24"/>
      <c r="T133" s="5"/>
      <c r="U133" s="24"/>
      <c r="V133" s="5"/>
      <c r="W133" s="24"/>
      <c r="X133" s="5"/>
      <c r="Z133" s="5"/>
      <c r="AB133" s="5"/>
      <c r="AD133" s="5"/>
      <c r="AK133" s="6"/>
      <c r="AL133" s="6"/>
      <c r="AM133" s="6"/>
      <c r="AT133" t="str">
        <f t="shared" si="214"/>
        <v>N</v>
      </c>
      <c r="AU133" t="s">
        <v>2953</v>
      </c>
      <c r="AV133" t="str">
        <f t="shared" si="215"/>
        <v>N</v>
      </c>
      <c r="AW133" t="s">
        <v>2954</v>
      </c>
      <c r="AX133" t="str">
        <f t="shared" si="328"/>
        <v>N</v>
      </c>
      <c r="AY133" t="s">
        <v>2955</v>
      </c>
      <c r="BB133" t="str">
        <f t="shared" si="330"/>
        <v>N</v>
      </c>
      <c r="BC133" t="s">
        <v>2956</v>
      </c>
    </row>
    <row r="134" spans="1:55" x14ac:dyDescent="0.4">
      <c r="A134" s="7"/>
      <c r="B134" s="7"/>
      <c r="C134" s="7"/>
      <c r="D134" s="7"/>
      <c r="E134" s="7"/>
      <c r="F134" s="7"/>
      <c r="G134" s="24"/>
      <c r="H134" s="30"/>
      <c r="I134" s="24"/>
      <c r="J134" s="5"/>
      <c r="K134" s="24"/>
      <c r="L134" s="30"/>
      <c r="M134" s="27"/>
      <c r="N134" s="5"/>
      <c r="O134" s="27"/>
      <c r="P134" s="5"/>
      <c r="Q134" s="24"/>
      <c r="R134" s="30"/>
      <c r="S134" s="24"/>
      <c r="T134" s="5"/>
      <c r="U134" s="24"/>
      <c r="V134" s="5"/>
      <c r="W134" s="24"/>
      <c r="X134" s="5"/>
      <c r="Z134" s="5"/>
      <c r="AB134" s="5"/>
      <c r="AD134" s="5"/>
      <c r="AK134" s="6"/>
      <c r="AL134" s="6"/>
      <c r="AM134" s="6"/>
      <c r="AT134" t="str">
        <f t="shared" ref="AT134:AT146" si="337">IF(EXACT(AU134,U134)=TRUE,"Y","N")</f>
        <v>N</v>
      </c>
      <c r="AU134" t="s">
        <v>2957</v>
      </c>
      <c r="AV134" t="str">
        <f t="shared" ref="AV134:AV141" si="338">IF(EXACT(AW134,W134)=TRUE,"Y","N")</f>
        <v>N</v>
      </c>
      <c r="AW134" t="s">
        <v>2958</v>
      </c>
      <c r="AX134" t="str">
        <f t="shared" si="328"/>
        <v>N</v>
      </c>
      <c r="AY134" t="s">
        <v>2959</v>
      </c>
      <c r="BB134" t="str">
        <f t="shared" si="330"/>
        <v>N</v>
      </c>
      <c r="BC134" t="s">
        <v>2960</v>
      </c>
    </row>
    <row r="135" spans="1:55" x14ac:dyDescent="0.4">
      <c r="A135" s="7"/>
      <c r="B135" s="7"/>
      <c r="C135" s="7"/>
      <c r="D135" s="7"/>
      <c r="E135" s="7"/>
      <c r="F135" s="7"/>
      <c r="G135" s="24"/>
      <c r="H135" s="30"/>
      <c r="I135" s="24"/>
      <c r="J135" s="5"/>
      <c r="K135" s="24"/>
      <c r="L135" s="30"/>
      <c r="M135" s="27"/>
      <c r="N135" s="5"/>
      <c r="O135" s="27"/>
      <c r="P135" s="5"/>
      <c r="Q135" s="24"/>
      <c r="R135" s="30"/>
      <c r="S135" s="24"/>
      <c r="T135" s="5"/>
      <c r="U135" s="24"/>
      <c r="V135" s="5"/>
      <c r="W135" s="24"/>
      <c r="X135" s="5"/>
      <c r="Z135" s="5"/>
      <c r="AB135" s="5"/>
      <c r="AD135" s="5"/>
      <c r="AK135" s="6"/>
      <c r="AL135" s="6"/>
      <c r="AM135" s="6"/>
      <c r="AT135" t="str">
        <f t="shared" si="337"/>
        <v>N</v>
      </c>
      <c r="AU135" t="s">
        <v>2961</v>
      </c>
      <c r="AV135" t="str">
        <f t="shared" si="338"/>
        <v>N</v>
      </c>
      <c r="AW135" t="s">
        <v>2962</v>
      </c>
      <c r="AX135" t="str">
        <f t="shared" si="328"/>
        <v>N</v>
      </c>
      <c r="AY135" t="s">
        <v>2963</v>
      </c>
      <c r="BB135" t="str">
        <f t="shared" si="330"/>
        <v>N</v>
      </c>
      <c r="BC135" t="s">
        <v>2964</v>
      </c>
    </row>
    <row r="136" spans="1:55" x14ac:dyDescent="0.4">
      <c r="A136" s="7"/>
      <c r="B136" s="7"/>
      <c r="C136" s="7"/>
      <c r="D136" s="7"/>
      <c r="E136" s="7"/>
      <c r="F136" s="7"/>
      <c r="G136" s="24"/>
      <c r="H136" s="30"/>
      <c r="I136" s="24"/>
      <c r="J136" s="5"/>
      <c r="K136" s="24"/>
      <c r="L136" s="30"/>
      <c r="M136" s="27"/>
      <c r="N136" s="5"/>
      <c r="O136" s="27"/>
      <c r="P136" s="5"/>
      <c r="Q136" s="24"/>
      <c r="R136" s="30"/>
      <c r="S136" s="24"/>
      <c r="T136" s="5"/>
      <c r="U136" s="24"/>
      <c r="V136" s="5"/>
      <c r="W136" s="24"/>
      <c r="X136" s="5"/>
      <c r="Z136" s="5"/>
      <c r="AB136" s="5"/>
      <c r="AD136" s="5"/>
      <c r="AK136" s="6"/>
      <c r="AL136" s="6"/>
      <c r="AM136" s="6"/>
      <c r="AT136" t="str">
        <f t="shared" si="337"/>
        <v>N</v>
      </c>
      <c r="AU136" t="s">
        <v>2965</v>
      </c>
      <c r="AV136" t="str">
        <f t="shared" si="338"/>
        <v>N</v>
      </c>
      <c r="AW136" t="s">
        <v>2966</v>
      </c>
      <c r="AX136" t="str">
        <f t="shared" si="328"/>
        <v>N</v>
      </c>
      <c r="AY136" t="s">
        <v>2967</v>
      </c>
      <c r="BB136" t="str">
        <f t="shared" si="330"/>
        <v>N</v>
      </c>
      <c r="BC136" t="s">
        <v>2968</v>
      </c>
    </row>
    <row r="137" spans="1:55" x14ac:dyDescent="0.4">
      <c r="A137" s="7"/>
      <c r="B137" s="7"/>
      <c r="C137" s="7"/>
      <c r="D137" s="7"/>
      <c r="E137" s="7"/>
      <c r="F137" s="7"/>
      <c r="G137" s="24"/>
      <c r="H137" s="30"/>
      <c r="I137" s="24"/>
      <c r="J137" s="5"/>
      <c r="K137" s="24"/>
      <c r="L137" s="30"/>
      <c r="M137" s="27"/>
      <c r="N137" s="5"/>
      <c r="O137" s="27"/>
      <c r="P137" s="5"/>
      <c r="Q137" s="24"/>
      <c r="R137" s="30"/>
      <c r="S137" s="24"/>
      <c r="T137" s="5"/>
      <c r="U137" s="24"/>
      <c r="V137" s="5"/>
      <c r="W137" s="24"/>
      <c r="X137" s="5"/>
      <c r="Z137" s="5"/>
      <c r="AB137" s="5"/>
      <c r="AD137" s="5"/>
      <c r="AK137" s="6"/>
      <c r="AL137" s="6"/>
      <c r="AM137" s="6"/>
      <c r="AT137" t="str">
        <f t="shared" si="337"/>
        <v>N</v>
      </c>
      <c r="AU137" t="s">
        <v>2969</v>
      </c>
      <c r="AV137" t="str">
        <f t="shared" si="338"/>
        <v>N</v>
      </c>
      <c r="AW137" t="s">
        <v>2970</v>
      </c>
      <c r="AX137" t="str">
        <f t="shared" si="328"/>
        <v>N</v>
      </c>
      <c r="AY137" t="s">
        <v>2971</v>
      </c>
      <c r="BB137" t="str">
        <f t="shared" si="330"/>
        <v>N</v>
      </c>
      <c r="BC137" t="s">
        <v>2972</v>
      </c>
    </row>
    <row r="138" spans="1:55" x14ac:dyDescent="0.4">
      <c r="A138" s="7"/>
      <c r="B138" s="7"/>
      <c r="C138" s="7"/>
      <c r="D138" s="7"/>
      <c r="E138" s="7"/>
      <c r="F138" s="7"/>
      <c r="G138" s="24"/>
      <c r="H138" s="30"/>
      <c r="I138" s="24"/>
      <c r="J138" s="5"/>
      <c r="K138" s="24"/>
      <c r="L138" s="30"/>
      <c r="M138" s="27"/>
      <c r="N138" s="5"/>
      <c r="O138" s="27"/>
      <c r="P138" s="5"/>
      <c r="Q138" s="24"/>
      <c r="R138" s="30"/>
      <c r="S138" s="24"/>
      <c r="T138" s="5"/>
      <c r="U138" s="24"/>
      <c r="V138" s="5"/>
      <c r="W138" s="24"/>
      <c r="X138" s="5"/>
      <c r="Z138" s="5"/>
      <c r="AB138" s="5"/>
      <c r="AD138" s="5"/>
      <c r="AK138" s="6"/>
      <c r="AL138" s="6"/>
      <c r="AM138" s="6"/>
      <c r="AT138" t="str">
        <f t="shared" si="337"/>
        <v>N</v>
      </c>
      <c r="AU138" t="s">
        <v>2973</v>
      </c>
      <c r="AV138" t="str">
        <f t="shared" si="338"/>
        <v>N</v>
      </c>
      <c r="AW138" t="s">
        <v>2974</v>
      </c>
      <c r="AX138" t="str">
        <f t="shared" si="328"/>
        <v>N</v>
      </c>
      <c r="AY138" t="s">
        <v>2975</v>
      </c>
      <c r="BB138" t="str">
        <f t="shared" si="330"/>
        <v>N</v>
      </c>
      <c r="BC138" t="s">
        <v>2976</v>
      </c>
    </row>
    <row r="139" spans="1:55" x14ac:dyDescent="0.4">
      <c r="A139" s="7"/>
      <c r="B139" s="7"/>
      <c r="C139" s="7"/>
      <c r="D139" s="7"/>
      <c r="E139" s="7"/>
      <c r="F139" s="7"/>
      <c r="G139" s="24"/>
      <c r="H139" s="30"/>
      <c r="I139" s="24"/>
      <c r="J139" s="5"/>
      <c r="K139" s="24"/>
      <c r="L139" s="30"/>
      <c r="M139" s="27"/>
      <c r="N139" s="5"/>
      <c r="O139" s="27"/>
      <c r="P139" s="5"/>
      <c r="Q139" s="24"/>
      <c r="R139" s="30"/>
      <c r="S139" s="24"/>
      <c r="T139" s="5"/>
      <c r="U139" s="24"/>
      <c r="V139" s="5"/>
      <c r="W139" s="24"/>
      <c r="X139" s="5"/>
      <c r="Z139" s="5"/>
      <c r="AB139" s="5"/>
      <c r="AD139" s="5"/>
      <c r="AK139" s="6"/>
      <c r="AL139" s="6"/>
      <c r="AM139" s="6"/>
      <c r="AT139" t="str">
        <f t="shared" si="337"/>
        <v>N</v>
      </c>
      <c r="AU139" t="s">
        <v>2977</v>
      </c>
      <c r="AV139" t="str">
        <f t="shared" si="338"/>
        <v>N</v>
      </c>
      <c r="AW139" t="s">
        <v>2978</v>
      </c>
      <c r="AX139" t="str">
        <f t="shared" si="328"/>
        <v>N</v>
      </c>
      <c r="AY139" t="s">
        <v>2979</v>
      </c>
      <c r="BB139" t="str">
        <f t="shared" si="330"/>
        <v>N</v>
      </c>
      <c r="BC139" t="s">
        <v>2980</v>
      </c>
    </row>
    <row r="140" spans="1:55" x14ac:dyDescent="0.4">
      <c r="A140" s="7"/>
      <c r="B140" s="7"/>
      <c r="C140" s="7"/>
      <c r="D140" s="7"/>
      <c r="E140" s="7"/>
      <c r="F140" s="7"/>
      <c r="G140" s="24"/>
      <c r="H140" s="30"/>
      <c r="I140" s="24"/>
      <c r="J140" s="5"/>
      <c r="K140" s="24"/>
      <c r="L140" s="30"/>
      <c r="M140" s="27"/>
      <c r="N140" s="5"/>
      <c r="O140" s="27"/>
      <c r="P140" s="5"/>
      <c r="Q140" s="24"/>
      <c r="R140" s="30"/>
      <c r="S140" s="24"/>
      <c r="T140" s="5"/>
      <c r="U140" s="24"/>
      <c r="V140" s="5"/>
      <c r="W140" s="24"/>
      <c r="X140" s="5"/>
      <c r="Z140" s="5"/>
      <c r="AB140" s="5"/>
      <c r="AD140" s="5"/>
      <c r="AK140" s="6"/>
      <c r="AL140" s="6"/>
      <c r="AM140" s="6"/>
      <c r="AT140" t="str">
        <f t="shared" si="337"/>
        <v>N</v>
      </c>
      <c r="AU140" t="s">
        <v>2981</v>
      </c>
      <c r="AV140" t="str">
        <f t="shared" si="338"/>
        <v>N</v>
      </c>
      <c r="AW140" t="s">
        <v>2982</v>
      </c>
      <c r="AX140" t="str">
        <f t="shared" si="328"/>
        <v>N</v>
      </c>
      <c r="AY140" t="s">
        <v>2983</v>
      </c>
      <c r="BB140" t="str">
        <f t="shared" si="330"/>
        <v>N</v>
      </c>
      <c r="BC140" t="s">
        <v>2984</v>
      </c>
    </row>
    <row r="141" spans="1:55" x14ac:dyDescent="0.4">
      <c r="A141" s="7"/>
      <c r="B141" s="7"/>
      <c r="C141" s="7"/>
      <c r="D141" s="7"/>
      <c r="E141" s="7"/>
      <c r="F141" s="7"/>
      <c r="G141" s="24"/>
      <c r="H141" s="30"/>
      <c r="I141" s="24"/>
      <c r="J141" s="5"/>
      <c r="K141" s="24"/>
      <c r="L141" s="30"/>
      <c r="M141" s="27"/>
      <c r="N141" s="5"/>
      <c r="O141" s="27"/>
      <c r="P141" s="5"/>
      <c r="Q141" s="24"/>
      <c r="R141" s="30"/>
      <c r="S141" s="24"/>
      <c r="T141" s="5"/>
      <c r="U141" s="24"/>
      <c r="V141" s="5"/>
      <c r="W141" s="24"/>
      <c r="X141" s="5"/>
      <c r="Z141" s="5"/>
      <c r="AB141" s="5"/>
      <c r="AD141" s="5"/>
      <c r="AK141" s="6"/>
      <c r="AL141" s="6"/>
      <c r="AM141" s="6"/>
      <c r="AT141" t="str">
        <f t="shared" si="337"/>
        <v>N</v>
      </c>
      <c r="AU141" t="s">
        <v>2985</v>
      </c>
      <c r="AV141" t="str">
        <f t="shared" si="338"/>
        <v>N</v>
      </c>
      <c r="AW141" t="s">
        <v>2986</v>
      </c>
      <c r="AX141" t="str">
        <f t="shared" si="328"/>
        <v>N</v>
      </c>
      <c r="AY141" t="s">
        <v>2987</v>
      </c>
      <c r="BB141" t="str">
        <f t="shared" si="330"/>
        <v>N</v>
      </c>
      <c r="BC141" t="s">
        <v>2988</v>
      </c>
    </row>
    <row r="142" spans="1:55" x14ac:dyDescent="0.4">
      <c r="A142" s="7"/>
      <c r="B142" s="7"/>
      <c r="C142" s="7"/>
      <c r="D142" s="7"/>
      <c r="E142" s="7"/>
      <c r="F142" s="7"/>
      <c r="G142" s="24"/>
      <c r="H142" s="30"/>
      <c r="I142" s="24"/>
      <c r="J142" s="5"/>
      <c r="K142" s="24"/>
      <c r="L142" s="30"/>
      <c r="M142" s="27"/>
      <c r="N142" s="5"/>
      <c r="O142" s="27"/>
      <c r="P142" s="5"/>
      <c r="Q142" s="24"/>
      <c r="R142" s="30"/>
      <c r="S142" s="24"/>
      <c r="T142" s="5"/>
      <c r="U142" s="24"/>
      <c r="V142" s="5"/>
      <c r="W142" s="24"/>
      <c r="X142" s="5"/>
      <c r="Z142" s="5"/>
      <c r="AB142" s="5"/>
      <c r="AD142" s="5"/>
      <c r="AK142" s="6"/>
      <c r="AL142" s="6"/>
      <c r="AM142" s="6"/>
      <c r="AT142" t="str">
        <f t="shared" si="337"/>
        <v>N</v>
      </c>
      <c r="AU142" t="s">
        <v>2989</v>
      </c>
      <c r="AX142" t="str">
        <f t="shared" si="328"/>
        <v>N</v>
      </c>
      <c r="AY142" t="s">
        <v>2990</v>
      </c>
      <c r="BB142" t="str">
        <f t="shared" si="330"/>
        <v>N</v>
      </c>
      <c r="BC142" t="s">
        <v>2991</v>
      </c>
    </row>
    <row r="143" spans="1:55" x14ac:dyDescent="0.4">
      <c r="A143" s="7"/>
      <c r="B143" s="7"/>
      <c r="C143" s="7"/>
      <c r="D143" s="7"/>
      <c r="E143" s="7"/>
      <c r="F143" s="7"/>
      <c r="G143" s="24"/>
      <c r="H143" s="30"/>
      <c r="I143" s="24"/>
      <c r="J143" s="5"/>
      <c r="K143" s="24"/>
      <c r="L143" s="30"/>
      <c r="M143" s="27"/>
      <c r="N143" s="5"/>
      <c r="O143" s="27"/>
      <c r="P143" s="5"/>
      <c r="Q143" s="24"/>
      <c r="R143" s="30"/>
      <c r="S143" s="24"/>
      <c r="T143" s="5"/>
      <c r="U143" s="24"/>
      <c r="V143" s="5"/>
      <c r="W143" s="24"/>
      <c r="X143" s="5"/>
      <c r="Z143" s="5"/>
      <c r="AB143" s="5"/>
      <c r="AD143" s="5"/>
      <c r="AK143" s="6"/>
      <c r="AL143" s="6"/>
      <c r="AM143" s="6"/>
      <c r="AT143" t="str">
        <f t="shared" si="337"/>
        <v>N</v>
      </c>
      <c r="AU143" t="s">
        <v>2992</v>
      </c>
      <c r="AX143" t="str">
        <f t="shared" si="328"/>
        <v>N</v>
      </c>
      <c r="AY143" t="s">
        <v>2993</v>
      </c>
      <c r="BB143" t="str">
        <f t="shared" si="330"/>
        <v>N</v>
      </c>
      <c r="BC143" t="s">
        <v>2994</v>
      </c>
    </row>
    <row r="144" spans="1:55" x14ac:dyDescent="0.4">
      <c r="A144" s="7"/>
      <c r="B144" s="7"/>
      <c r="C144" s="7"/>
      <c r="D144" s="7"/>
      <c r="E144" s="7"/>
      <c r="F144" s="7"/>
      <c r="G144" s="24"/>
      <c r="H144" s="30"/>
      <c r="I144" s="24"/>
      <c r="J144" s="5"/>
      <c r="K144" s="24"/>
      <c r="L144" s="30"/>
      <c r="M144" s="27"/>
      <c r="N144" s="5"/>
      <c r="O144" s="27"/>
      <c r="P144" s="5"/>
      <c r="Q144" s="24"/>
      <c r="R144" s="30"/>
      <c r="S144" s="24"/>
      <c r="T144" s="5"/>
      <c r="U144" s="24"/>
      <c r="V144" s="5"/>
      <c r="W144" s="24"/>
      <c r="X144" s="5"/>
      <c r="Z144" s="5"/>
      <c r="AB144" s="5"/>
      <c r="AD144" s="5"/>
      <c r="AK144" s="6"/>
      <c r="AL144" s="6"/>
      <c r="AM144" s="6"/>
      <c r="AT144" t="str">
        <f t="shared" si="337"/>
        <v>N</v>
      </c>
      <c r="AU144" t="s">
        <v>2995</v>
      </c>
      <c r="AX144" t="str">
        <f t="shared" si="328"/>
        <v>N</v>
      </c>
      <c r="AY144" t="s">
        <v>2996</v>
      </c>
      <c r="BB144" t="str">
        <f t="shared" si="330"/>
        <v>N</v>
      </c>
      <c r="BC144" t="s">
        <v>2997</v>
      </c>
    </row>
    <row r="145" spans="1:55" x14ac:dyDescent="0.4">
      <c r="A145" s="7"/>
      <c r="B145" s="7"/>
      <c r="C145" s="7"/>
      <c r="D145" s="7"/>
      <c r="E145" s="7"/>
      <c r="F145" s="7"/>
      <c r="G145" s="24"/>
      <c r="H145" s="31"/>
      <c r="I145" s="24"/>
      <c r="J145" s="5"/>
      <c r="K145" s="24"/>
      <c r="L145" s="30"/>
      <c r="M145" s="27"/>
      <c r="N145" s="5"/>
      <c r="O145" s="27"/>
      <c r="P145" s="5"/>
      <c r="Q145" s="24"/>
      <c r="R145" s="30"/>
      <c r="S145" s="24"/>
      <c r="T145" s="5"/>
      <c r="U145" s="24"/>
      <c r="V145" s="5"/>
      <c r="W145" s="24"/>
      <c r="X145" s="5"/>
      <c r="Z145" s="5"/>
      <c r="AB145" s="5"/>
      <c r="AD145" s="5"/>
      <c r="AK145" s="6"/>
      <c r="AL145" s="6"/>
      <c r="AM145" s="6"/>
      <c r="AT145" t="str">
        <f t="shared" si="337"/>
        <v>N</v>
      </c>
      <c r="AU145" t="s">
        <v>2998</v>
      </c>
      <c r="BB145" t="str">
        <f t="shared" ref="BB145:BB176" si="339">IF(EXACT(BC145,AC145)=TRUE,"Y","N")</f>
        <v>N</v>
      </c>
      <c r="BC145" t="s">
        <v>2999</v>
      </c>
    </row>
    <row r="146" spans="1:55" x14ac:dyDescent="0.4">
      <c r="A146" s="7"/>
      <c r="B146" s="7"/>
      <c r="C146" s="7"/>
      <c r="D146" s="7"/>
      <c r="E146" s="7"/>
      <c r="F146" s="7"/>
      <c r="G146" s="24"/>
      <c r="H146" s="31"/>
      <c r="I146" s="24"/>
      <c r="J146" s="5"/>
      <c r="K146" s="24"/>
      <c r="L146" s="31"/>
      <c r="M146" s="27"/>
      <c r="N146" s="5"/>
      <c r="O146" s="27"/>
      <c r="P146" s="5"/>
      <c r="Q146" s="24"/>
      <c r="R146" s="30"/>
      <c r="S146" s="24"/>
      <c r="T146" s="5"/>
      <c r="U146" s="24"/>
      <c r="V146" s="5"/>
      <c r="W146" s="24"/>
      <c r="X146" s="30"/>
      <c r="Z146" s="5"/>
      <c r="AB146" s="5"/>
      <c r="AD146" s="5"/>
      <c r="AK146" s="6"/>
      <c r="AL146" s="6"/>
      <c r="AM146" s="6"/>
      <c r="AT146" t="str">
        <f t="shared" si="337"/>
        <v>N</v>
      </c>
      <c r="AU146" t="s">
        <v>3000</v>
      </c>
      <c r="BB146" t="str">
        <f t="shared" si="339"/>
        <v>N</v>
      </c>
      <c r="BC146" t="s">
        <v>3001</v>
      </c>
    </row>
    <row r="147" spans="1:55" x14ac:dyDescent="0.4">
      <c r="A147" s="7"/>
      <c r="B147" s="7"/>
      <c r="C147" s="7"/>
      <c r="D147" s="7"/>
      <c r="E147" s="7"/>
      <c r="F147" s="7"/>
      <c r="G147" s="24"/>
      <c r="H147" s="31"/>
      <c r="I147" s="24"/>
      <c r="J147" s="5"/>
      <c r="K147" s="24"/>
      <c r="L147" s="31"/>
      <c r="M147" s="27"/>
      <c r="N147" s="5"/>
      <c r="O147" s="27"/>
      <c r="P147" s="5"/>
      <c r="Q147" s="24"/>
      <c r="R147" s="30"/>
      <c r="S147" s="24"/>
      <c r="T147" s="5"/>
      <c r="U147" s="24"/>
      <c r="V147" s="5"/>
      <c r="W147" s="24"/>
      <c r="X147" s="30"/>
      <c r="Z147" s="5"/>
      <c r="AB147" s="5"/>
      <c r="AD147" s="5"/>
      <c r="AK147" s="6"/>
      <c r="AL147" s="6"/>
      <c r="AM147" s="6"/>
      <c r="BB147" t="str">
        <f t="shared" si="339"/>
        <v>N</v>
      </c>
      <c r="BC147" t="s">
        <v>3002</v>
      </c>
    </row>
    <row r="148" spans="1:55" x14ac:dyDescent="0.4">
      <c r="A148" s="7"/>
      <c r="B148" s="7"/>
      <c r="C148" s="7"/>
      <c r="D148" s="7"/>
      <c r="E148" s="7"/>
      <c r="F148" s="7"/>
      <c r="G148" s="24"/>
      <c r="H148" s="31"/>
      <c r="I148" s="24"/>
      <c r="J148" s="24"/>
      <c r="K148" s="24"/>
      <c r="L148" s="31"/>
      <c r="M148" s="27"/>
      <c r="N148" s="5"/>
      <c r="O148" s="27"/>
      <c r="P148" s="5"/>
      <c r="Q148" s="24"/>
      <c r="R148" s="33"/>
      <c r="S148" s="24"/>
      <c r="T148" s="5"/>
      <c r="U148" s="24"/>
      <c r="V148" s="5"/>
      <c r="W148" s="24"/>
      <c r="X148" s="30"/>
      <c r="Z148" s="5"/>
      <c r="AB148" s="5"/>
      <c r="AD148" s="5"/>
      <c r="AK148" s="6"/>
      <c r="AL148" s="6"/>
      <c r="AM148" s="6"/>
      <c r="AN148" s="6"/>
      <c r="BB148" t="str">
        <f t="shared" si="339"/>
        <v>N</v>
      </c>
      <c r="BC148" t="s">
        <v>1295</v>
      </c>
    </row>
    <row r="149" spans="1:55" x14ac:dyDescent="0.4">
      <c r="A149" s="7"/>
      <c r="B149" s="7"/>
      <c r="C149" s="7"/>
      <c r="D149" s="7"/>
      <c r="E149" s="7"/>
      <c r="F149" s="7"/>
      <c r="G149" s="24"/>
      <c r="H149" s="31"/>
      <c r="I149" s="24"/>
      <c r="J149" s="24"/>
      <c r="K149" s="24"/>
      <c r="L149" s="31"/>
      <c r="M149" s="27"/>
      <c r="N149" s="5"/>
      <c r="O149" s="27"/>
      <c r="P149" s="5"/>
      <c r="Q149" s="24"/>
      <c r="R149" s="33"/>
      <c r="S149" s="24"/>
      <c r="T149" s="5"/>
      <c r="U149" s="24"/>
      <c r="V149" s="5"/>
      <c r="W149" s="24"/>
      <c r="X149" s="30"/>
      <c r="Z149" s="5"/>
      <c r="AB149" s="5"/>
      <c r="AD149" s="5"/>
      <c r="AK149" s="6"/>
      <c r="AL149" s="6"/>
      <c r="AM149" s="6"/>
      <c r="AN149" s="6"/>
      <c r="BB149" t="str">
        <f t="shared" si="339"/>
        <v>N</v>
      </c>
      <c r="BC149" t="s">
        <v>338</v>
      </c>
    </row>
    <row r="150" spans="1:55" x14ac:dyDescent="0.4">
      <c r="A150" s="7"/>
      <c r="B150" s="7"/>
      <c r="C150" s="7"/>
      <c r="D150" s="7"/>
      <c r="E150" s="7"/>
      <c r="F150" s="7"/>
      <c r="G150" s="24"/>
      <c r="H150" s="31"/>
      <c r="I150" s="24"/>
      <c r="J150" s="24"/>
      <c r="K150" s="24"/>
      <c r="L150" s="31"/>
      <c r="M150" s="27"/>
      <c r="N150" s="5"/>
      <c r="O150" s="27"/>
      <c r="P150" s="5"/>
      <c r="Q150" s="24"/>
      <c r="R150" s="33"/>
      <c r="S150" s="24"/>
      <c r="T150" s="5"/>
      <c r="U150" s="24"/>
      <c r="V150" s="5"/>
      <c r="W150" s="24"/>
      <c r="X150" s="30"/>
      <c r="Z150" s="5"/>
      <c r="AB150" s="5"/>
      <c r="AD150" s="5"/>
      <c r="AK150" s="6"/>
      <c r="AL150" s="6"/>
      <c r="AM150" s="6"/>
      <c r="AN150" s="6"/>
      <c r="BB150" t="str">
        <f t="shared" si="339"/>
        <v>N</v>
      </c>
      <c r="BC150" t="s">
        <v>3003</v>
      </c>
    </row>
    <row r="151" spans="1:55" x14ac:dyDescent="0.4">
      <c r="A151" s="7"/>
      <c r="B151" s="7"/>
      <c r="C151" s="7"/>
      <c r="D151" s="7"/>
      <c r="E151" s="7"/>
      <c r="F151" s="7"/>
      <c r="G151" s="24"/>
      <c r="H151" s="31"/>
      <c r="I151" s="24"/>
      <c r="J151" s="24"/>
      <c r="K151" s="24"/>
      <c r="L151" s="31"/>
      <c r="M151" s="27"/>
      <c r="N151" s="5"/>
      <c r="O151" s="27"/>
      <c r="P151" s="5"/>
      <c r="Q151" s="24"/>
      <c r="R151" s="33"/>
      <c r="S151" s="24"/>
      <c r="T151" s="5"/>
      <c r="U151" s="24"/>
      <c r="V151" s="5"/>
      <c r="W151" s="24"/>
      <c r="X151" s="24"/>
      <c r="Z151" s="5"/>
      <c r="AB151" s="5"/>
      <c r="AD151" s="5"/>
      <c r="AK151" s="6"/>
      <c r="AL151" s="6"/>
      <c r="AM151" s="6"/>
      <c r="AN151" s="6"/>
      <c r="BB151" t="str">
        <f t="shared" si="339"/>
        <v>N</v>
      </c>
      <c r="BC151" t="s">
        <v>1498</v>
      </c>
    </row>
    <row r="152" spans="1:55" x14ac:dyDescent="0.4">
      <c r="A152" s="7"/>
      <c r="B152" s="7"/>
      <c r="C152" s="7"/>
      <c r="D152" s="7"/>
      <c r="E152" s="7"/>
      <c r="F152" s="7"/>
      <c r="G152" s="24"/>
      <c r="H152" s="24"/>
      <c r="I152" s="24"/>
      <c r="J152" s="24"/>
      <c r="K152" s="24"/>
      <c r="L152" s="31"/>
      <c r="M152" s="27"/>
      <c r="N152" s="5"/>
      <c r="O152" s="27"/>
      <c r="P152" s="5"/>
      <c r="Q152" s="24"/>
      <c r="R152" s="33"/>
      <c r="S152" s="24"/>
      <c r="T152" s="5"/>
      <c r="U152" s="24"/>
      <c r="V152" s="5"/>
      <c r="W152" s="24"/>
      <c r="X152" s="24"/>
      <c r="Z152" s="5"/>
      <c r="AB152" s="5"/>
      <c r="AD152" s="5"/>
      <c r="AK152" s="6"/>
      <c r="AL152" s="6"/>
      <c r="AM152" s="6"/>
      <c r="AN152" s="6"/>
      <c r="BB152" t="str">
        <f t="shared" si="339"/>
        <v>N</v>
      </c>
      <c r="BC152" t="s">
        <v>1301</v>
      </c>
    </row>
    <row r="153" spans="1:55" x14ac:dyDescent="0.4">
      <c r="A153" s="7"/>
      <c r="B153" s="7"/>
      <c r="C153" s="7"/>
      <c r="D153" s="7"/>
      <c r="E153" s="7"/>
      <c r="F153" s="7"/>
      <c r="G153" s="24"/>
      <c r="H153" s="24"/>
      <c r="I153" s="24"/>
      <c r="J153" s="24"/>
      <c r="K153" s="24"/>
      <c r="L153" s="31"/>
      <c r="M153" s="27"/>
      <c r="N153" s="5"/>
      <c r="O153" s="27"/>
      <c r="P153" s="5"/>
      <c r="Q153" s="24"/>
      <c r="R153" s="33"/>
      <c r="S153" s="24"/>
      <c r="T153" s="5"/>
      <c r="U153" s="24"/>
      <c r="V153" s="5"/>
      <c r="W153" s="24"/>
      <c r="X153" s="24"/>
      <c r="Z153" s="5"/>
      <c r="AB153" s="5"/>
      <c r="AD153" s="5"/>
      <c r="AK153" s="6"/>
      <c r="AL153" s="6"/>
      <c r="AM153" s="6"/>
      <c r="AN153" s="6"/>
      <c r="BB153" t="str">
        <f t="shared" si="339"/>
        <v>N</v>
      </c>
      <c r="BC153" t="s">
        <v>3004</v>
      </c>
    </row>
    <row r="154" spans="1:55" x14ac:dyDescent="0.4">
      <c r="A154" s="7"/>
      <c r="B154" s="7"/>
      <c r="C154" s="7"/>
      <c r="D154" s="7"/>
      <c r="E154" s="7"/>
      <c r="F154" s="7"/>
      <c r="G154" s="24"/>
      <c r="H154" s="24"/>
      <c r="I154" s="24"/>
      <c r="J154" s="24"/>
      <c r="K154" s="24"/>
      <c r="L154" s="31"/>
      <c r="M154" s="27"/>
      <c r="N154" s="5"/>
      <c r="O154" s="27"/>
      <c r="P154" s="5"/>
      <c r="Q154" s="24"/>
      <c r="R154" s="33"/>
      <c r="S154" s="24"/>
      <c r="T154" s="5"/>
      <c r="U154" s="24"/>
      <c r="V154" s="5"/>
      <c r="W154" s="24"/>
      <c r="X154" s="24"/>
      <c r="Z154" s="5"/>
      <c r="AB154" s="5"/>
      <c r="AD154" s="5"/>
      <c r="AK154" s="6"/>
      <c r="AL154" s="6"/>
      <c r="AM154" s="6"/>
      <c r="AN154" s="6"/>
      <c r="BB154" t="str">
        <f t="shared" si="339"/>
        <v>N</v>
      </c>
      <c r="BC154" t="s">
        <v>3005</v>
      </c>
    </row>
    <row r="155" spans="1:55" x14ac:dyDescent="0.4">
      <c r="A155" s="7"/>
      <c r="B155" s="7"/>
      <c r="C155" s="7"/>
      <c r="D155" s="7"/>
      <c r="E155" s="7"/>
      <c r="F155" s="7"/>
      <c r="G155" s="24"/>
      <c r="H155" s="24"/>
      <c r="I155" s="24"/>
      <c r="J155" s="24"/>
      <c r="K155" s="24"/>
      <c r="L155" s="24"/>
      <c r="M155" s="27"/>
      <c r="N155" s="5"/>
      <c r="O155" s="27"/>
      <c r="P155" s="5"/>
      <c r="Q155" s="24"/>
      <c r="R155" s="33"/>
      <c r="S155" s="24"/>
      <c r="T155" s="5"/>
      <c r="U155" s="24"/>
      <c r="V155" s="5"/>
      <c r="W155" s="24"/>
      <c r="X155" s="24"/>
      <c r="Z155" s="5"/>
      <c r="AB155" s="5"/>
      <c r="AD155" s="5"/>
      <c r="BB155" t="str">
        <f t="shared" si="339"/>
        <v>N</v>
      </c>
      <c r="BC155" t="s">
        <v>3006</v>
      </c>
    </row>
    <row r="156" spans="1:55" x14ac:dyDescent="0.4">
      <c r="A156" s="7"/>
      <c r="B156" s="7"/>
      <c r="C156" s="7"/>
      <c r="D156" s="7"/>
      <c r="E156" s="7"/>
      <c r="F156" s="7"/>
      <c r="G156" s="24"/>
      <c r="H156" s="24"/>
      <c r="I156" s="24"/>
      <c r="J156" s="24"/>
      <c r="K156" s="24"/>
      <c r="L156" s="24"/>
      <c r="M156" s="27"/>
      <c r="N156" s="5"/>
      <c r="O156" s="27"/>
      <c r="P156" s="5"/>
      <c r="Q156" s="24"/>
      <c r="R156" s="33"/>
      <c r="S156" s="24"/>
      <c r="T156" s="5"/>
      <c r="U156" s="24"/>
      <c r="V156" s="5"/>
      <c r="W156" s="24"/>
      <c r="X156" s="24"/>
      <c r="Z156" s="5"/>
      <c r="AB156" s="5"/>
      <c r="AD156" s="5"/>
      <c r="BB156" t="str">
        <f t="shared" si="339"/>
        <v>N</v>
      </c>
      <c r="BC156" t="s">
        <v>3007</v>
      </c>
    </row>
    <row r="157" spans="1:55" x14ac:dyDescent="0.4">
      <c r="A157" s="7"/>
      <c r="B157" s="7"/>
      <c r="C157" s="7"/>
      <c r="D157" s="7"/>
      <c r="E157" s="7"/>
      <c r="F157" s="7"/>
      <c r="G157" s="24"/>
      <c r="H157" s="24"/>
      <c r="I157" s="24"/>
      <c r="J157" s="24"/>
      <c r="K157" s="24"/>
      <c r="L157" s="24"/>
      <c r="M157" s="27"/>
      <c r="N157" s="5"/>
      <c r="O157" s="27"/>
      <c r="P157" s="5"/>
      <c r="Q157" s="24"/>
      <c r="R157" s="33"/>
      <c r="S157" s="24"/>
      <c r="T157" s="5"/>
      <c r="U157" s="24"/>
      <c r="V157" s="5"/>
      <c r="W157" s="24"/>
      <c r="X157" s="24"/>
      <c r="Z157" s="5"/>
      <c r="AB157" s="5"/>
      <c r="AD157" s="5"/>
      <c r="BB157" t="str">
        <f t="shared" si="339"/>
        <v>N</v>
      </c>
      <c r="BC157" t="s">
        <v>3008</v>
      </c>
    </row>
    <row r="158" spans="1:55" x14ac:dyDescent="0.4">
      <c r="A158" s="7"/>
      <c r="B158" s="7"/>
      <c r="C158" s="7"/>
      <c r="D158" s="7"/>
      <c r="E158" s="7"/>
      <c r="F158" s="7"/>
      <c r="G158" s="24"/>
      <c r="H158" s="24"/>
      <c r="I158" s="24"/>
      <c r="J158" s="24"/>
      <c r="K158" s="24"/>
      <c r="L158" s="24"/>
      <c r="M158" s="27"/>
      <c r="N158" s="27"/>
      <c r="O158" s="27"/>
      <c r="P158" s="5"/>
      <c r="Q158" s="24"/>
      <c r="R158" s="33"/>
      <c r="S158" s="24"/>
      <c r="T158" s="5"/>
      <c r="U158" s="24"/>
      <c r="V158" s="5"/>
      <c r="W158" s="24"/>
      <c r="X158" s="24"/>
      <c r="Z158" s="5"/>
      <c r="AB158" s="5"/>
      <c r="AD158" s="5"/>
      <c r="BB158" t="str">
        <f t="shared" si="339"/>
        <v>N</v>
      </c>
      <c r="BC158" t="s">
        <v>3009</v>
      </c>
    </row>
    <row r="159" spans="1:55" x14ac:dyDescent="0.4">
      <c r="A159" s="7"/>
      <c r="B159" s="7"/>
      <c r="C159" s="7"/>
      <c r="D159" s="7"/>
      <c r="E159" s="7"/>
      <c r="F159" s="7"/>
      <c r="G159" s="24"/>
      <c r="H159" s="24"/>
      <c r="I159" s="24"/>
      <c r="J159" s="24"/>
      <c r="K159" s="24"/>
      <c r="L159" s="24"/>
      <c r="M159" s="27"/>
      <c r="N159" s="27"/>
      <c r="O159" s="27"/>
      <c r="P159" s="5"/>
      <c r="Q159" s="24"/>
      <c r="R159" s="33"/>
      <c r="S159" s="24"/>
      <c r="T159" s="5"/>
      <c r="U159" s="24"/>
      <c r="V159" s="5"/>
      <c r="W159" s="24"/>
      <c r="X159" s="24"/>
      <c r="Z159" s="5"/>
      <c r="AB159" s="5"/>
      <c r="AD159" s="5"/>
      <c r="BB159" t="str">
        <f t="shared" si="339"/>
        <v>N</v>
      </c>
      <c r="BC159" t="s">
        <v>3010</v>
      </c>
    </row>
    <row r="160" spans="1:55" x14ac:dyDescent="0.4">
      <c r="A160" s="7"/>
      <c r="B160" s="7"/>
      <c r="C160" s="7"/>
      <c r="D160" s="7"/>
      <c r="E160" s="7"/>
      <c r="F160" s="7"/>
      <c r="G160" s="24"/>
      <c r="H160" s="24"/>
      <c r="I160" s="24"/>
      <c r="J160" s="24"/>
      <c r="K160" s="24"/>
      <c r="L160" s="24"/>
      <c r="M160" s="27"/>
      <c r="N160" s="27"/>
      <c r="O160" s="27"/>
      <c r="P160" s="5"/>
      <c r="Q160" s="24"/>
      <c r="R160" s="33"/>
      <c r="S160" s="24"/>
      <c r="T160" s="5"/>
      <c r="U160" s="24"/>
      <c r="V160" s="5"/>
      <c r="W160" s="24"/>
      <c r="X160" s="24"/>
      <c r="Z160" s="5"/>
      <c r="AB160" s="5"/>
      <c r="AD160" s="5"/>
      <c r="BB160" t="str">
        <f t="shared" si="339"/>
        <v>N</v>
      </c>
      <c r="BC160" t="s">
        <v>3011</v>
      </c>
    </row>
    <row r="161" spans="1:55" x14ac:dyDescent="0.4">
      <c r="A161" s="7"/>
      <c r="B161" s="7"/>
      <c r="C161" s="7"/>
      <c r="D161" s="7"/>
      <c r="E161" s="7"/>
      <c r="F161" s="7"/>
      <c r="P161" s="5"/>
      <c r="R161" s="32"/>
      <c r="V161" s="5"/>
      <c r="Z161" s="5"/>
      <c r="AB161" s="5"/>
      <c r="AD161" s="5"/>
      <c r="BB161" t="str">
        <f t="shared" si="339"/>
        <v>N</v>
      </c>
      <c r="BC161" t="s">
        <v>3012</v>
      </c>
    </row>
    <row r="162" spans="1:55" x14ac:dyDescent="0.4">
      <c r="A162" s="7"/>
      <c r="B162" s="7"/>
      <c r="C162" s="7"/>
      <c r="D162" s="7"/>
      <c r="E162" s="7"/>
      <c r="F162" s="7"/>
      <c r="P162" s="32"/>
      <c r="R162" s="32"/>
      <c r="V162" s="5"/>
      <c r="Z162" s="5"/>
      <c r="AB162" s="5"/>
      <c r="AD162" s="5"/>
      <c r="BB162" t="str">
        <f t="shared" si="339"/>
        <v>N</v>
      </c>
      <c r="BC162" t="s">
        <v>3013</v>
      </c>
    </row>
    <row r="163" spans="1:55" x14ac:dyDescent="0.4">
      <c r="A163" s="7"/>
      <c r="B163" s="7"/>
      <c r="C163" s="7"/>
      <c r="D163" s="7"/>
      <c r="E163" s="7"/>
      <c r="F163" s="7"/>
      <c r="P163" s="32"/>
      <c r="R163" s="32"/>
      <c r="V163" s="5"/>
      <c r="Z163" s="5"/>
      <c r="AB163" s="5"/>
      <c r="AD163" s="5"/>
      <c r="BB163" t="str">
        <f t="shared" si="339"/>
        <v>N</v>
      </c>
      <c r="BC163" t="s">
        <v>3014</v>
      </c>
    </row>
    <row r="164" spans="1:55" x14ac:dyDescent="0.4">
      <c r="A164" s="7"/>
      <c r="B164" s="7"/>
      <c r="C164" s="7"/>
      <c r="D164" s="7"/>
      <c r="E164" s="7"/>
      <c r="F164" s="7"/>
      <c r="P164" s="32"/>
      <c r="R164" s="32"/>
      <c r="V164" s="5"/>
      <c r="Z164" s="5"/>
      <c r="AB164" s="5"/>
      <c r="AD164" s="5"/>
      <c r="BB164" t="str">
        <f t="shared" si="339"/>
        <v>N</v>
      </c>
      <c r="BC164" t="s">
        <v>3015</v>
      </c>
    </row>
    <row r="165" spans="1:55" x14ac:dyDescent="0.4">
      <c r="A165" s="7"/>
      <c r="B165" s="7"/>
      <c r="C165" s="7"/>
      <c r="D165" s="7"/>
      <c r="E165" s="7"/>
      <c r="F165" s="7"/>
      <c r="P165" s="32"/>
      <c r="R165" s="32"/>
      <c r="V165" s="5"/>
      <c r="Z165" s="5"/>
      <c r="AB165" s="5"/>
      <c r="AD165" s="5"/>
      <c r="BB165" t="str">
        <f t="shared" si="339"/>
        <v>N</v>
      </c>
      <c r="BC165" t="s">
        <v>3016</v>
      </c>
    </row>
    <row r="166" spans="1:55" x14ac:dyDescent="0.4">
      <c r="A166" s="7"/>
      <c r="B166" s="7"/>
      <c r="C166" s="7"/>
      <c r="D166" s="7"/>
      <c r="E166" s="7"/>
      <c r="F166" s="7"/>
      <c r="P166" s="32"/>
      <c r="R166" s="32"/>
      <c r="V166" s="5"/>
      <c r="Z166" s="5"/>
      <c r="AB166" s="5"/>
      <c r="AD166" s="5"/>
      <c r="BB166" t="str">
        <f t="shared" si="339"/>
        <v>N</v>
      </c>
      <c r="BC166" t="s">
        <v>3017</v>
      </c>
    </row>
    <row r="167" spans="1:55" x14ac:dyDescent="0.4">
      <c r="A167" s="7"/>
      <c r="B167" s="7"/>
      <c r="C167" s="7"/>
      <c r="D167" s="7"/>
      <c r="E167" s="7"/>
      <c r="F167" s="7"/>
      <c r="P167" s="32"/>
      <c r="R167" s="32"/>
      <c r="V167" s="5"/>
      <c r="Z167" s="5"/>
      <c r="AB167" s="5"/>
      <c r="AD167" s="5"/>
      <c r="BB167" t="str">
        <f t="shared" si="339"/>
        <v>N</v>
      </c>
      <c r="BC167" t="s">
        <v>3018</v>
      </c>
    </row>
    <row r="168" spans="1:55" x14ac:dyDescent="0.4">
      <c r="A168" s="7"/>
      <c r="B168" s="7"/>
      <c r="C168" s="7"/>
      <c r="D168" s="7"/>
      <c r="E168" s="7"/>
      <c r="F168" s="7"/>
      <c r="P168" s="32"/>
      <c r="R168" s="32"/>
      <c r="V168" s="5"/>
      <c r="Z168" s="5"/>
      <c r="AB168" s="5"/>
      <c r="AD168" s="5"/>
      <c r="BB168" t="str">
        <f t="shared" si="339"/>
        <v>N</v>
      </c>
      <c r="BC168" t="s">
        <v>295</v>
      </c>
    </row>
    <row r="169" spans="1:55" x14ac:dyDescent="0.4">
      <c r="A169" s="7"/>
      <c r="B169" s="7"/>
      <c r="C169" s="7"/>
      <c r="D169" s="7"/>
      <c r="E169" s="7"/>
      <c r="F169" s="7"/>
      <c r="P169" s="32"/>
      <c r="V169" s="5"/>
      <c r="Z169" s="5"/>
      <c r="AB169" s="5"/>
      <c r="AD169" s="5"/>
      <c r="BB169" t="str">
        <f t="shared" si="339"/>
        <v>N</v>
      </c>
      <c r="BC169" t="s">
        <v>304</v>
      </c>
    </row>
    <row r="170" spans="1:55" x14ac:dyDescent="0.4">
      <c r="A170" s="7"/>
      <c r="B170" s="7"/>
      <c r="C170" s="7"/>
      <c r="D170" s="7"/>
      <c r="E170" s="7"/>
      <c r="F170" s="7"/>
      <c r="P170" s="32"/>
      <c r="V170" s="5"/>
      <c r="Z170" s="5"/>
      <c r="AB170" s="5"/>
      <c r="AD170" s="5"/>
      <c r="BB170" t="str">
        <f t="shared" si="339"/>
        <v>N</v>
      </c>
      <c r="BC170" t="s">
        <v>3019</v>
      </c>
    </row>
    <row r="171" spans="1:55" x14ac:dyDescent="0.4">
      <c r="A171" s="7"/>
      <c r="B171" s="7"/>
      <c r="C171" s="7"/>
      <c r="D171" s="7"/>
      <c r="E171" s="7"/>
      <c r="F171" s="7"/>
      <c r="P171" s="32"/>
      <c r="V171" s="5"/>
      <c r="Z171" s="5"/>
      <c r="AB171" s="5"/>
      <c r="AD171" s="5"/>
      <c r="BB171" t="str">
        <f t="shared" si="339"/>
        <v>N</v>
      </c>
      <c r="BC171" t="s">
        <v>1444</v>
      </c>
    </row>
    <row r="172" spans="1:55" x14ac:dyDescent="0.4">
      <c r="A172" s="7"/>
      <c r="B172" s="7"/>
      <c r="C172" s="7"/>
      <c r="D172" s="7"/>
      <c r="E172" s="7"/>
      <c r="F172" s="7"/>
      <c r="P172" s="32"/>
      <c r="V172" s="5"/>
      <c r="Z172" s="5"/>
      <c r="AB172" s="5"/>
      <c r="AD172" s="5"/>
      <c r="BB172" t="str">
        <f t="shared" si="339"/>
        <v>N</v>
      </c>
      <c r="BC172" t="s">
        <v>3020</v>
      </c>
    </row>
    <row r="173" spans="1:55" x14ac:dyDescent="0.4">
      <c r="A173" s="7"/>
      <c r="B173" s="7"/>
      <c r="C173" s="7"/>
      <c r="D173" s="7"/>
      <c r="E173" s="7"/>
      <c r="F173" s="7"/>
      <c r="P173" s="32"/>
      <c r="V173" s="5"/>
      <c r="Z173" s="5"/>
      <c r="AB173" s="5"/>
      <c r="AD173" s="5"/>
      <c r="BB173" t="str">
        <f t="shared" si="339"/>
        <v>N</v>
      </c>
      <c r="BC173" t="s">
        <v>3021</v>
      </c>
    </row>
    <row r="174" spans="1:55" x14ac:dyDescent="0.4">
      <c r="A174" s="7"/>
      <c r="B174" s="7"/>
      <c r="C174" s="7"/>
      <c r="D174" s="7"/>
      <c r="E174" s="7"/>
      <c r="F174" s="7"/>
      <c r="P174" s="32"/>
      <c r="V174" s="5"/>
      <c r="Z174" s="5"/>
      <c r="AB174" s="5"/>
      <c r="AD174" s="5"/>
      <c r="BB174" t="str">
        <f t="shared" si="339"/>
        <v>N</v>
      </c>
      <c r="BC174" t="s">
        <v>3022</v>
      </c>
    </row>
    <row r="175" spans="1:55" x14ac:dyDescent="0.4">
      <c r="A175" s="7"/>
      <c r="B175" s="7"/>
      <c r="C175" s="7"/>
      <c r="D175" s="7"/>
      <c r="E175" s="7"/>
      <c r="F175" s="7"/>
      <c r="P175" s="32"/>
      <c r="V175" s="5"/>
      <c r="Z175" s="5"/>
      <c r="AB175" s="5"/>
      <c r="AD175" s="5"/>
      <c r="BB175" t="str">
        <f t="shared" si="339"/>
        <v>N</v>
      </c>
      <c r="BC175" t="s">
        <v>3023</v>
      </c>
    </row>
    <row r="176" spans="1:55" x14ac:dyDescent="0.4">
      <c r="A176" s="7"/>
      <c r="B176" s="7"/>
      <c r="C176" s="7"/>
      <c r="D176" s="7"/>
      <c r="E176" s="7"/>
      <c r="F176" s="7"/>
      <c r="V176" s="5"/>
      <c r="AB176" s="7"/>
      <c r="AD176" s="5"/>
      <c r="BB176" t="str">
        <f t="shared" si="339"/>
        <v>N</v>
      </c>
      <c r="BC176" t="s">
        <v>3024</v>
      </c>
    </row>
    <row r="177" spans="1:55" x14ac:dyDescent="0.4">
      <c r="A177" s="7"/>
      <c r="B177" s="7"/>
      <c r="C177" s="7"/>
      <c r="D177" s="7"/>
      <c r="E177" s="7"/>
      <c r="F177" s="7"/>
      <c r="V177" s="5"/>
      <c r="AB177" s="7"/>
      <c r="AD177" s="5"/>
      <c r="BB177" t="str">
        <f t="shared" ref="BB177:BB208" si="340">IF(EXACT(BC177,AC177)=TRUE,"Y","N")</f>
        <v>N</v>
      </c>
      <c r="BC177" t="s">
        <v>3025</v>
      </c>
    </row>
    <row r="178" spans="1:55" x14ac:dyDescent="0.4">
      <c r="A178" s="7"/>
      <c r="B178" s="7"/>
      <c r="C178" s="7"/>
      <c r="D178" s="7"/>
      <c r="E178" s="7"/>
      <c r="F178" s="7"/>
      <c r="V178" s="5"/>
      <c r="AD178" s="5"/>
      <c r="BB178" t="str">
        <f t="shared" si="340"/>
        <v>N</v>
      </c>
      <c r="BC178" t="s">
        <v>3026</v>
      </c>
    </row>
    <row r="179" spans="1:55" x14ac:dyDescent="0.4">
      <c r="A179" s="7"/>
      <c r="B179" s="7"/>
      <c r="C179" s="7"/>
      <c r="D179" s="7"/>
      <c r="E179" s="7"/>
      <c r="F179" s="7"/>
      <c r="V179" s="5"/>
      <c r="AD179" s="5"/>
      <c r="BB179" t="str">
        <f t="shared" si="340"/>
        <v>N</v>
      </c>
      <c r="BC179" t="s">
        <v>3027</v>
      </c>
    </row>
    <row r="180" spans="1:55" x14ac:dyDescent="0.4">
      <c r="A180" s="7"/>
      <c r="B180" s="7"/>
      <c r="C180" s="7"/>
      <c r="D180" s="7"/>
      <c r="E180" s="7"/>
      <c r="F180" s="7"/>
      <c r="V180" s="5"/>
      <c r="AD180" s="5"/>
      <c r="BB180" t="str">
        <f t="shared" si="340"/>
        <v>N</v>
      </c>
      <c r="BC180" t="s">
        <v>3028</v>
      </c>
    </row>
    <row r="181" spans="1:55" x14ac:dyDescent="0.4">
      <c r="A181" s="7"/>
      <c r="B181" s="7"/>
      <c r="C181" s="7"/>
      <c r="D181" s="7"/>
      <c r="E181" s="7"/>
      <c r="F181" s="7"/>
      <c r="V181" s="5"/>
      <c r="AD181" s="5"/>
      <c r="BB181" t="str">
        <f t="shared" si="340"/>
        <v>N</v>
      </c>
      <c r="BC181" t="s">
        <v>3029</v>
      </c>
    </row>
    <row r="182" spans="1:55" x14ac:dyDescent="0.4">
      <c r="A182" s="7"/>
      <c r="B182" s="7"/>
      <c r="C182" s="7"/>
      <c r="D182" s="7"/>
      <c r="E182" s="7"/>
      <c r="F182" s="7"/>
      <c r="V182" s="5"/>
      <c r="AD182" s="5"/>
      <c r="BB182" t="str">
        <f t="shared" si="340"/>
        <v>N</v>
      </c>
      <c r="BC182" t="s">
        <v>3030</v>
      </c>
    </row>
    <row r="183" spans="1:55" x14ac:dyDescent="0.4">
      <c r="A183" s="7"/>
      <c r="B183" s="7"/>
      <c r="C183" s="7"/>
      <c r="D183" s="7"/>
      <c r="E183" s="7"/>
      <c r="F183" s="7"/>
      <c r="V183" s="5"/>
      <c r="AD183" s="5"/>
      <c r="BB183" t="str">
        <f t="shared" si="340"/>
        <v>N</v>
      </c>
      <c r="BC183" t="s">
        <v>3031</v>
      </c>
    </row>
    <row r="184" spans="1:55" x14ac:dyDescent="0.4">
      <c r="A184" s="7"/>
      <c r="B184" s="7"/>
      <c r="C184" s="7"/>
      <c r="D184" s="7"/>
      <c r="E184" s="7"/>
      <c r="F184" s="7"/>
      <c r="V184" s="5"/>
      <c r="AD184" s="5"/>
      <c r="BB184" t="str">
        <f t="shared" si="340"/>
        <v>N</v>
      </c>
      <c r="BC184" t="s">
        <v>3032</v>
      </c>
    </row>
    <row r="185" spans="1:55" x14ac:dyDescent="0.4">
      <c r="A185" s="7"/>
      <c r="B185" s="7"/>
      <c r="C185" s="7"/>
      <c r="D185" s="7"/>
      <c r="E185" s="7"/>
      <c r="F185" s="7"/>
      <c r="V185" s="5"/>
      <c r="AD185" s="5"/>
      <c r="BB185" t="str">
        <f t="shared" si="340"/>
        <v>N</v>
      </c>
      <c r="BC185" t="s">
        <v>3033</v>
      </c>
    </row>
    <row r="186" spans="1:55" x14ac:dyDescent="0.4">
      <c r="AD186" s="5"/>
      <c r="BB186" t="str">
        <f t="shared" si="340"/>
        <v>N</v>
      </c>
      <c r="BC186" t="s">
        <v>3034</v>
      </c>
    </row>
    <row r="187" spans="1:55" x14ac:dyDescent="0.4">
      <c r="AD187" s="5"/>
      <c r="BB187" t="str">
        <f t="shared" si="340"/>
        <v>N</v>
      </c>
      <c r="BC187" t="s">
        <v>3035</v>
      </c>
    </row>
    <row r="188" spans="1:55" x14ac:dyDescent="0.4">
      <c r="AD188" s="5"/>
      <c r="BB188" t="str">
        <f t="shared" si="340"/>
        <v>N</v>
      </c>
      <c r="BC188" t="s">
        <v>3036</v>
      </c>
    </row>
    <row r="189" spans="1:55" x14ac:dyDescent="0.4">
      <c r="AD189" s="5"/>
      <c r="BB189" t="str">
        <f t="shared" si="340"/>
        <v>N</v>
      </c>
      <c r="BC189" t="s">
        <v>3037</v>
      </c>
    </row>
    <row r="190" spans="1:55" x14ac:dyDescent="0.4">
      <c r="AD190" s="5"/>
      <c r="BB190" t="str">
        <f t="shared" si="340"/>
        <v>N</v>
      </c>
      <c r="BC190" t="s">
        <v>3038</v>
      </c>
    </row>
    <row r="191" spans="1:55" x14ac:dyDescent="0.4">
      <c r="AD191" s="5"/>
      <c r="BB191" t="str">
        <f t="shared" si="340"/>
        <v>N</v>
      </c>
      <c r="BC191" t="s">
        <v>3039</v>
      </c>
    </row>
    <row r="192" spans="1:55" x14ac:dyDescent="0.4">
      <c r="AD192" s="5"/>
      <c r="BB192" t="str">
        <f t="shared" si="340"/>
        <v>N</v>
      </c>
      <c r="BC192" t="s">
        <v>3040</v>
      </c>
    </row>
    <row r="193" spans="30:55" x14ac:dyDescent="0.4">
      <c r="AD193" s="5"/>
      <c r="BB193" t="str">
        <f t="shared" si="340"/>
        <v>N</v>
      </c>
      <c r="BC193" t="s">
        <v>3041</v>
      </c>
    </row>
    <row r="194" spans="30:55" x14ac:dyDescent="0.4">
      <c r="AD194" s="5"/>
      <c r="BB194" t="str">
        <f t="shared" si="340"/>
        <v>N</v>
      </c>
      <c r="BC194" t="s">
        <v>3042</v>
      </c>
    </row>
    <row r="195" spans="30:55" x14ac:dyDescent="0.4">
      <c r="AD195" s="5"/>
      <c r="BB195" t="str">
        <f t="shared" si="340"/>
        <v>N</v>
      </c>
      <c r="BC195" t="s">
        <v>3043</v>
      </c>
    </row>
    <row r="196" spans="30:55" x14ac:dyDescent="0.4">
      <c r="AD196" s="5"/>
      <c r="BB196" t="str">
        <f t="shared" si="340"/>
        <v>N</v>
      </c>
      <c r="BC196" t="s">
        <v>3044</v>
      </c>
    </row>
    <row r="197" spans="30:55" x14ac:dyDescent="0.4">
      <c r="AD197" s="5"/>
      <c r="BB197" t="str">
        <f t="shared" si="340"/>
        <v>N</v>
      </c>
      <c r="BC197" t="s">
        <v>3045</v>
      </c>
    </row>
    <row r="198" spans="30:55" x14ac:dyDescent="0.4">
      <c r="AD198" s="5"/>
      <c r="BB198" t="str">
        <f t="shared" si="340"/>
        <v>N</v>
      </c>
      <c r="BC198" t="s">
        <v>3046</v>
      </c>
    </row>
    <row r="199" spans="30:55" x14ac:dyDescent="0.4">
      <c r="AD199" s="5"/>
      <c r="BB199" t="str">
        <f t="shared" si="340"/>
        <v>N</v>
      </c>
      <c r="BC199" t="s">
        <v>3047</v>
      </c>
    </row>
    <row r="200" spans="30:55" x14ac:dyDescent="0.4">
      <c r="AD200" s="5"/>
      <c r="BB200" t="str">
        <f t="shared" si="340"/>
        <v>N</v>
      </c>
      <c r="BC200" t="s">
        <v>3048</v>
      </c>
    </row>
    <row r="201" spans="30:55" x14ac:dyDescent="0.4">
      <c r="AD201" s="5"/>
      <c r="BB201" t="str">
        <f t="shared" si="340"/>
        <v>N</v>
      </c>
      <c r="BC201" t="s">
        <v>3049</v>
      </c>
    </row>
    <row r="202" spans="30:55" x14ac:dyDescent="0.4">
      <c r="AD202" s="5"/>
      <c r="BB202" t="str">
        <f t="shared" si="340"/>
        <v>N</v>
      </c>
      <c r="BC202" t="s">
        <v>3050</v>
      </c>
    </row>
    <row r="203" spans="30:55" x14ac:dyDescent="0.4">
      <c r="AD203" s="5"/>
      <c r="BB203" t="str">
        <f t="shared" si="340"/>
        <v>N</v>
      </c>
      <c r="BC203" t="s">
        <v>3051</v>
      </c>
    </row>
    <row r="204" spans="30:55" x14ac:dyDescent="0.4">
      <c r="AD204" s="5"/>
      <c r="BB204" t="str">
        <f t="shared" si="340"/>
        <v>N</v>
      </c>
      <c r="BC204" t="s">
        <v>3052</v>
      </c>
    </row>
    <row r="205" spans="30:55" x14ac:dyDescent="0.4">
      <c r="AD205" s="5"/>
      <c r="BB205" t="str">
        <f t="shared" si="340"/>
        <v>N</v>
      </c>
      <c r="BC205" t="s">
        <v>3053</v>
      </c>
    </row>
    <row r="206" spans="30:55" x14ac:dyDescent="0.4">
      <c r="AD206" s="5"/>
      <c r="BB206" t="str">
        <f t="shared" si="340"/>
        <v>N</v>
      </c>
      <c r="BC206" t="s">
        <v>3054</v>
      </c>
    </row>
    <row r="207" spans="30:55" x14ac:dyDescent="0.4">
      <c r="AD207" s="5"/>
      <c r="BB207" t="str">
        <f t="shared" si="340"/>
        <v>N</v>
      </c>
      <c r="BC207" t="s">
        <v>3055</v>
      </c>
    </row>
    <row r="208" spans="30:55" x14ac:dyDescent="0.4">
      <c r="AD208" s="5"/>
      <c r="BB208" t="str">
        <f t="shared" si="340"/>
        <v>N</v>
      </c>
      <c r="BC208" t="s">
        <v>1428</v>
      </c>
    </row>
    <row r="209" spans="30:55" x14ac:dyDescent="0.4">
      <c r="AD209" s="5"/>
      <c r="BB209" t="str">
        <f t="shared" ref="BB209:BB237" si="341">IF(EXACT(BC209,AC209)=TRUE,"Y","N")</f>
        <v>N</v>
      </c>
      <c r="BC209" t="s">
        <v>3056</v>
      </c>
    </row>
    <row r="210" spans="30:55" x14ac:dyDescent="0.4">
      <c r="AD210" s="5"/>
      <c r="BB210" t="str">
        <f t="shared" si="341"/>
        <v>N</v>
      </c>
      <c r="BC210" t="s">
        <v>3057</v>
      </c>
    </row>
    <row r="211" spans="30:55" x14ac:dyDescent="0.4">
      <c r="AD211" s="5"/>
      <c r="BB211" t="str">
        <f t="shared" si="341"/>
        <v>N</v>
      </c>
      <c r="BC211" t="s">
        <v>3058</v>
      </c>
    </row>
    <row r="212" spans="30:55" x14ac:dyDescent="0.4">
      <c r="AD212" s="5"/>
      <c r="BB212" t="str">
        <f t="shared" si="341"/>
        <v>N</v>
      </c>
      <c r="BC212" t="s">
        <v>3059</v>
      </c>
    </row>
    <row r="213" spans="30:55" x14ac:dyDescent="0.4">
      <c r="AD213" s="5"/>
      <c r="BB213" t="str">
        <f t="shared" si="341"/>
        <v>N</v>
      </c>
      <c r="BC213" t="s">
        <v>3060</v>
      </c>
    </row>
    <row r="214" spans="30:55" x14ac:dyDescent="0.4">
      <c r="AD214" s="5"/>
      <c r="BB214" t="str">
        <f t="shared" si="341"/>
        <v>N</v>
      </c>
      <c r="BC214" t="s">
        <v>1442</v>
      </c>
    </row>
    <row r="215" spans="30:55" x14ac:dyDescent="0.4">
      <c r="AD215" s="5"/>
      <c r="BB215" t="str">
        <f t="shared" si="341"/>
        <v>N</v>
      </c>
      <c r="BC215" t="s">
        <v>3061</v>
      </c>
    </row>
    <row r="216" spans="30:55" x14ac:dyDescent="0.4">
      <c r="AD216" s="5"/>
      <c r="BB216" t="str">
        <f t="shared" si="341"/>
        <v>N</v>
      </c>
      <c r="BC216" t="s">
        <v>3062</v>
      </c>
    </row>
    <row r="217" spans="30:55" x14ac:dyDescent="0.4">
      <c r="AD217" s="5"/>
      <c r="BB217" t="str">
        <f t="shared" si="341"/>
        <v>N</v>
      </c>
      <c r="BC217" t="s">
        <v>3063</v>
      </c>
    </row>
    <row r="218" spans="30:55" x14ac:dyDescent="0.4">
      <c r="AD218" s="5"/>
      <c r="BB218" t="str">
        <f t="shared" si="341"/>
        <v>N</v>
      </c>
      <c r="BC218" t="s">
        <v>3064</v>
      </c>
    </row>
    <row r="219" spans="30:55" x14ac:dyDescent="0.4">
      <c r="AD219" s="5"/>
      <c r="BB219" t="str">
        <f t="shared" si="341"/>
        <v>N</v>
      </c>
      <c r="BC219" t="s">
        <v>3065</v>
      </c>
    </row>
    <row r="220" spans="30:55" x14ac:dyDescent="0.4">
      <c r="AD220" s="5"/>
      <c r="BB220" t="str">
        <f t="shared" si="341"/>
        <v>N</v>
      </c>
      <c r="BC220" t="s">
        <v>3066</v>
      </c>
    </row>
    <row r="221" spans="30:55" x14ac:dyDescent="0.4">
      <c r="AD221" s="5"/>
      <c r="BB221" t="str">
        <f t="shared" si="341"/>
        <v>N</v>
      </c>
      <c r="BC221" t="s">
        <v>3067</v>
      </c>
    </row>
    <row r="222" spans="30:55" x14ac:dyDescent="0.4">
      <c r="AD222" s="5"/>
      <c r="BB222" t="str">
        <f t="shared" si="341"/>
        <v>N</v>
      </c>
      <c r="BC222" t="s">
        <v>3068</v>
      </c>
    </row>
    <row r="223" spans="30:55" x14ac:dyDescent="0.4">
      <c r="AD223" s="5"/>
      <c r="BB223" t="str">
        <f t="shared" si="341"/>
        <v>N</v>
      </c>
      <c r="BC223" t="s">
        <v>3069</v>
      </c>
    </row>
    <row r="224" spans="30:55" x14ac:dyDescent="0.4">
      <c r="AD224" s="5"/>
      <c r="BB224" t="str">
        <f t="shared" si="341"/>
        <v>N</v>
      </c>
      <c r="BC224" t="s">
        <v>3070</v>
      </c>
    </row>
    <row r="225" spans="30:55" x14ac:dyDescent="0.4">
      <c r="AD225" s="5"/>
      <c r="BB225" t="str">
        <f t="shared" si="341"/>
        <v>N</v>
      </c>
      <c r="BC225" t="s">
        <v>3071</v>
      </c>
    </row>
    <row r="226" spans="30:55" x14ac:dyDescent="0.4">
      <c r="AD226" s="5"/>
      <c r="BB226" t="str">
        <f t="shared" si="341"/>
        <v>N</v>
      </c>
      <c r="BC226" t="s">
        <v>3072</v>
      </c>
    </row>
    <row r="227" spans="30:55" x14ac:dyDescent="0.4">
      <c r="AD227" s="5"/>
      <c r="BB227" t="str">
        <f t="shared" si="341"/>
        <v>N</v>
      </c>
      <c r="BC227" t="s">
        <v>3073</v>
      </c>
    </row>
    <row r="228" spans="30:55" x14ac:dyDescent="0.4">
      <c r="AD228" s="5"/>
      <c r="BB228" t="str">
        <f t="shared" si="341"/>
        <v>N</v>
      </c>
      <c r="BC228" t="s">
        <v>3074</v>
      </c>
    </row>
    <row r="229" spans="30:55" x14ac:dyDescent="0.4">
      <c r="AD229" s="5"/>
      <c r="BB229" t="str">
        <f t="shared" si="341"/>
        <v>N</v>
      </c>
      <c r="BC229" t="s">
        <v>3075</v>
      </c>
    </row>
    <row r="230" spans="30:55" x14ac:dyDescent="0.4">
      <c r="AD230" s="5"/>
      <c r="BB230" t="str">
        <f t="shared" si="341"/>
        <v>N</v>
      </c>
      <c r="BC230" t="s">
        <v>3076</v>
      </c>
    </row>
    <row r="231" spans="30:55" x14ac:dyDescent="0.4">
      <c r="AD231" s="5"/>
      <c r="BB231" t="str">
        <f t="shared" si="341"/>
        <v>N</v>
      </c>
      <c r="BC231" t="s">
        <v>3077</v>
      </c>
    </row>
    <row r="232" spans="30:55" x14ac:dyDescent="0.4">
      <c r="AD232" s="5"/>
      <c r="BB232" t="str">
        <f t="shared" si="341"/>
        <v>N</v>
      </c>
      <c r="BC232" t="s">
        <v>3078</v>
      </c>
    </row>
    <row r="233" spans="30:55" x14ac:dyDescent="0.4">
      <c r="AD233" s="5"/>
      <c r="BB233" t="str">
        <f t="shared" si="341"/>
        <v>N</v>
      </c>
      <c r="BC233" t="s">
        <v>3079</v>
      </c>
    </row>
    <row r="234" spans="30:55" x14ac:dyDescent="0.4">
      <c r="AD234" s="5"/>
      <c r="BB234" t="str">
        <f t="shared" si="341"/>
        <v>N</v>
      </c>
      <c r="BC234" t="s">
        <v>3080</v>
      </c>
    </row>
    <row r="235" spans="30:55" x14ac:dyDescent="0.4">
      <c r="AD235" s="5"/>
      <c r="BB235" t="str">
        <f t="shared" si="341"/>
        <v>N</v>
      </c>
      <c r="BC235" t="s">
        <v>3081</v>
      </c>
    </row>
    <row r="236" spans="30:55" x14ac:dyDescent="0.4">
      <c r="AD236" s="5"/>
      <c r="BB236" t="str">
        <f t="shared" si="341"/>
        <v>N</v>
      </c>
      <c r="BC236" t="s">
        <v>3082</v>
      </c>
    </row>
    <row r="237" spans="30:55" x14ac:dyDescent="0.4">
      <c r="AD237" s="5"/>
      <c r="BB237" t="str">
        <f t="shared" si="341"/>
        <v>N</v>
      </c>
      <c r="BC237" t="s">
        <v>3083</v>
      </c>
    </row>
    <row r="238" spans="30:55" x14ac:dyDescent="0.4">
      <c r="AD238" s="5"/>
    </row>
    <row r="239" spans="30:55" x14ac:dyDescent="0.4">
      <c r="AD239" s="5"/>
    </row>
    <row r="240" spans="30:55" x14ac:dyDescent="0.4">
      <c r="AD240" s="5"/>
    </row>
    <row r="241" spans="30:30" x14ac:dyDescent="0.4">
      <c r="AD241" s="5"/>
    </row>
    <row r="242" spans="30:30" x14ac:dyDescent="0.4">
      <c r="AD242" s="5"/>
    </row>
    <row r="243" spans="30:30" x14ac:dyDescent="0.4">
      <c r="AD243" s="5"/>
    </row>
    <row r="244" spans="30:30" x14ac:dyDescent="0.4">
      <c r="AD244" s="5"/>
    </row>
    <row r="245" spans="30:30" x14ac:dyDescent="0.4">
      <c r="AD245" s="5"/>
    </row>
    <row r="246" spans="30:30" x14ac:dyDescent="0.4">
      <c r="AD246" s="5"/>
    </row>
    <row r="247" spans="30:30" x14ac:dyDescent="0.4">
      <c r="AD247" s="5"/>
    </row>
    <row r="248" spans="30:30" x14ac:dyDescent="0.4">
      <c r="AD248" s="5"/>
    </row>
    <row r="249" spans="30:30" x14ac:dyDescent="0.4">
      <c r="AD249" s="5"/>
    </row>
    <row r="250" spans="30:30" x14ac:dyDescent="0.4">
      <c r="AD250" s="5"/>
    </row>
    <row r="251" spans="30:30" x14ac:dyDescent="0.4">
      <c r="AD251" s="5"/>
    </row>
    <row r="252" spans="30:30" x14ac:dyDescent="0.4">
      <c r="AD252" s="5"/>
    </row>
    <row r="253" spans="30:30" x14ac:dyDescent="0.4">
      <c r="AD253" s="5"/>
    </row>
    <row r="254" spans="30:30" x14ac:dyDescent="0.4">
      <c r="AD254" s="5"/>
    </row>
    <row r="255" spans="30:30" x14ac:dyDescent="0.4">
      <c r="AD255" s="5"/>
    </row>
    <row r="256" spans="30:30" x14ac:dyDescent="0.4">
      <c r="AD256" s="5"/>
    </row>
    <row r="257" spans="30:30" x14ac:dyDescent="0.4">
      <c r="AD257" s="5"/>
    </row>
    <row r="258" spans="30:30" x14ac:dyDescent="0.4">
      <c r="AD258" s="5"/>
    </row>
    <row r="259" spans="30:30" x14ac:dyDescent="0.4">
      <c r="AD259" s="5"/>
    </row>
    <row r="260" spans="30:30" x14ac:dyDescent="0.4">
      <c r="AD260" s="5"/>
    </row>
    <row r="261" spans="30:30" x14ac:dyDescent="0.4">
      <c r="AD261" s="5"/>
    </row>
    <row r="262" spans="30:30" x14ac:dyDescent="0.4">
      <c r="AD262" s="5"/>
    </row>
    <row r="263" spans="30:30" x14ac:dyDescent="0.4">
      <c r="AD263" s="5"/>
    </row>
    <row r="264" spans="30:30" x14ac:dyDescent="0.4">
      <c r="AD264" s="5"/>
    </row>
    <row r="265" spans="30:30" x14ac:dyDescent="0.4">
      <c r="AD265" s="5"/>
    </row>
    <row r="266" spans="30:30" x14ac:dyDescent="0.4">
      <c r="AD266" s="5"/>
    </row>
    <row r="267" spans="30:30" x14ac:dyDescent="0.4">
      <c r="AD267" s="5"/>
    </row>
    <row r="268" spans="30:30" x14ac:dyDescent="0.4">
      <c r="AD268" s="5"/>
    </row>
    <row r="269" spans="30:30" x14ac:dyDescent="0.4">
      <c r="AD269" s="5"/>
    </row>
    <row r="270" spans="30:30" x14ac:dyDescent="0.4">
      <c r="AD270" s="5"/>
    </row>
    <row r="271" spans="30:30" x14ac:dyDescent="0.4">
      <c r="AD271" s="5"/>
    </row>
    <row r="272" spans="30:30" x14ac:dyDescent="0.4">
      <c r="AD272" s="5"/>
    </row>
    <row r="273" spans="30:30" x14ac:dyDescent="0.4">
      <c r="AD273" s="5"/>
    </row>
    <row r="274" spans="30:30" x14ac:dyDescent="0.4">
      <c r="AD274" s="5"/>
    </row>
    <row r="275" spans="30:30" x14ac:dyDescent="0.4">
      <c r="AD275" s="5"/>
    </row>
    <row r="276" spans="30:30" x14ac:dyDescent="0.4">
      <c r="AD276" s="5"/>
    </row>
    <row r="277" spans="30:30" x14ac:dyDescent="0.4">
      <c r="AD277" s="5"/>
    </row>
    <row r="278" spans="30:30" x14ac:dyDescent="0.4">
      <c r="AD278" s="5"/>
    </row>
    <row r="279" spans="30:30" x14ac:dyDescent="0.4">
      <c r="AD279" s="5"/>
    </row>
    <row r="280" spans="30:30" x14ac:dyDescent="0.4">
      <c r="AD280" s="5"/>
    </row>
    <row r="281" spans="30:30" x14ac:dyDescent="0.4">
      <c r="AD281" s="5"/>
    </row>
    <row r="282" spans="30:30" x14ac:dyDescent="0.4">
      <c r="AD282" s="5"/>
    </row>
    <row r="283" spans="30:30" x14ac:dyDescent="0.4">
      <c r="AD283" s="5"/>
    </row>
    <row r="284" spans="30:30" x14ac:dyDescent="0.4">
      <c r="AD284" s="5"/>
    </row>
    <row r="285" spans="30:30" x14ac:dyDescent="0.4">
      <c r="AD285" s="5"/>
    </row>
    <row r="286" spans="30:30" x14ac:dyDescent="0.4">
      <c r="AD286" s="5"/>
    </row>
    <row r="287" spans="30:30" x14ac:dyDescent="0.4">
      <c r="AD287" s="5"/>
    </row>
    <row r="288" spans="30:30" x14ac:dyDescent="0.4">
      <c r="AD288" s="5"/>
    </row>
    <row r="289" spans="30:30" x14ac:dyDescent="0.4">
      <c r="AD289" s="5"/>
    </row>
    <row r="290" spans="30:30" x14ac:dyDescent="0.4">
      <c r="AD290" s="5"/>
    </row>
    <row r="291" spans="30:30" x14ac:dyDescent="0.4">
      <c r="AD291" s="5"/>
    </row>
    <row r="292" spans="30:30" x14ac:dyDescent="0.4">
      <c r="AD292" s="5"/>
    </row>
    <row r="293" spans="30:30" x14ac:dyDescent="0.4">
      <c r="AD293" s="5"/>
    </row>
    <row r="294" spans="30:30" x14ac:dyDescent="0.4">
      <c r="AD294" s="5"/>
    </row>
    <row r="295" spans="30:30" x14ac:dyDescent="0.4">
      <c r="AD295" s="5"/>
    </row>
    <row r="296" spans="30:30" x14ac:dyDescent="0.4">
      <c r="AD296" s="5"/>
    </row>
    <row r="297" spans="30:30" x14ac:dyDescent="0.4">
      <c r="AD297" s="5"/>
    </row>
    <row r="298" spans="30:30" x14ac:dyDescent="0.4">
      <c r="AD298" s="5"/>
    </row>
    <row r="299" spans="30:30" x14ac:dyDescent="0.4">
      <c r="AD299" s="5"/>
    </row>
    <row r="300" spans="30:30" x14ac:dyDescent="0.4">
      <c r="AD300" s="5"/>
    </row>
  </sheetData>
  <sheetProtection selectLockedCells="1"/>
  <mergeCells count="28">
    <mergeCell ref="AZ1:BA1"/>
    <mergeCell ref="BB1:BC1"/>
    <mergeCell ref="E3:F3"/>
    <mergeCell ref="AL1:AM1"/>
    <mergeCell ref="AN1:AO1"/>
    <mergeCell ref="AP1:AQ1"/>
    <mergeCell ref="AR1:AS1"/>
    <mergeCell ref="AT1:AU1"/>
    <mergeCell ref="AA1:AB1"/>
    <mergeCell ref="AC1:AD1"/>
    <mergeCell ref="AF1:AG1"/>
    <mergeCell ref="AH1:AI1"/>
    <mergeCell ref="AJ1:AK1"/>
    <mergeCell ref="Q1:R1"/>
    <mergeCell ref="S1:T1"/>
    <mergeCell ref="U1:V1"/>
    <mergeCell ref="A46:D46"/>
    <mergeCell ref="A2:D3"/>
    <mergeCell ref="A33:D40"/>
    <mergeCell ref="AV1:AW1"/>
    <mergeCell ref="AX1:AY1"/>
    <mergeCell ref="W1:X1"/>
    <mergeCell ref="Y1:Z1"/>
    <mergeCell ref="G1:H1"/>
    <mergeCell ref="I1:J1"/>
    <mergeCell ref="K1:L1"/>
    <mergeCell ref="M1:N1"/>
    <mergeCell ref="O1:P1"/>
  </mergeCells>
  <phoneticPr fontId="1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">
          <controlPr defaultSize="0" altText="" r:id="rId5">
            <anchor moveWithCells="1">
              <from>
                <xdr:col>0</xdr:col>
                <xdr:colOff>0</xdr:colOff>
                <xdr:row>20</xdr:row>
                <xdr:rowOff>28575</xdr:rowOff>
              </from>
              <to>
                <xdr:col>1</xdr:col>
                <xdr:colOff>95250</xdr:colOff>
                <xdr:row>22</xdr:row>
                <xdr:rowOff>33338</xdr:rowOff>
              </to>
            </anchor>
          </controlPr>
        </control>
      </mc:Choice>
      <mc:Fallback>
        <control shapeId="4097" r:id="rId4" name="C"/>
      </mc:Fallback>
    </mc:AlternateContent>
    <mc:AlternateContent xmlns:mc="http://schemas.openxmlformats.org/markup-compatibility/2006">
      <mc:Choice Requires="x14">
        <control shapeId="4098" r:id="rId6" name="CommandButton1">
          <controlPr defaultSize="0" altText="" r:id="rId7">
            <anchor moveWithCells="1">
              <from>
                <xdr:col>1</xdr:col>
                <xdr:colOff>304800</xdr:colOff>
                <xdr:row>20</xdr:row>
                <xdr:rowOff>33338</xdr:rowOff>
              </from>
              <to>
                <xdr:col>2</xdr:col>
                <xdr:colOff>461963</xdr:colOff>
                <xdr:row>22</xdr:row>
                <xdr:rowOff>38100</xdr:rowOff>
              </to>
            </anchor>
          </controlPr>
        </control>
      </mc:Choice>
      <mc:Fallback>
        <control shapeId="4098" r:id="rId6" name="CommandButton1"/>
      </mc:Fallback>
    </mc:AlternateContent>
    <mc:AlternateContent xmlns:mc="http://schemas.openxmlformats.org/markup-compatibility/2006">
      <mc:Choice Requires="x14">
        <control shapeId="4099" r:id="rId8" name="CommandButton2">
          <controlPr defaultSize="0" altText="" r:id="rId9">
            <anchor moveWithCells="1">
              <from>
                <xdr:col>3</xdr:col>
                <xdr:colOff>33338</xdr:colOff>
                <xdr:row>20</xdr:row>
                <xdr:rowOff>33338</xdr:rowOff>
              </from>
              <to>
                <xdr:col>4</xdr:col>
                <xdr:colOff>61913</xdr:colOff>
                <xdr:row>22</xdr:row>
                <xdr:rowOff>38100</xdr:rowOff>
              </to>
            </anchor>
          </controlPr>
        </control>
      </mc:Choice>
      <mc:Fallback>
        <control shapeId="4099" r:id="rId8" name="CommandButton2"/>
      </mc:Fallback>
    </mc:AlternateContent>
    <mc:AlternateContent xmlns:mc="http://schemas.openxmlformats.org/markup-compatibility/2006">
      <mc:Choice Requires="x14">
        <control shapeId="4100" r:id="rId10" name="CommandButton3">
          <controlPr defaultSize="0" altText="" r:id="rId11">
            <anchor moveWithCells="1">
              <from>
                <xdr:col>0</xdr:col>
                <xdr:colOff>0</xdr:colOff>
                <xdr:row>23</xdr:row>
                <xdr:rowOff>23813</xdr:rowOff>
              </from>
              <to>
                <xdr:col>1</xdr:col>
                <xdr:colOff>95250</xdr:colOff>
                <xdr:row>25</xdr:row>
                <xdr:rowOff>28575</xdr:rowOff>
              </to>
            </anchor>
          </controlPr>
        </control>
      </mc:Choice>
      <mc:Fallback>
        <control shapeId="4100" r:id="rId10" name="CommandButton3"/>
      </mc:Fallback>
    </mc:AlternateContent>
    <mc:AlternateContent xmlns:mc="http://schemas.openxmlformats.org/markup-compatibility/2006">
      <mc:Choice Requires="x14">
        <control shapeId="4101" r:id="rId12" name="CommandButton4">
          <controlPr defaultSize="0" altText="" r:id="rId13">
            <anchor moveWithCells="1">
              <from>
                <xdr:col>1</xdr:col>
                <xdr:colOff>285750</xdr:colOff>
                <xdr:row>23</xdr:row>
                <xdr:rowOff>33338</xdr:rowOff>
              </from>
              <to>
                <xdr:col>2</xdr:col>
                <xdr:colOff>442913</xdr:colOff>
                <xdr:row>25</xdr:row>
                <xdr:rowOff>38100</xdr:rowOff>
              </to>
            </anchor>
          </controlPr>
        </control>
      </mc:Choice>
      <mc:Fallback>
        <control shapeId="4101" r:id="rId12" name="CommandButton4"/>
      </mc:Fallback>
    </mc:AlternateContent>
    <mc:AlternateContent xmlns:mc="http://schemas.openxmlformats.org/markup-compatibility/2006">
      <mc:Choice Requires="x14">
        <control shapeId="4102" r:id="rId14" name="CommandButton5">
          <controlPr defaultSize="0" altText="" r:id="rId15">
            <anchor moveWithCells="1">
              <from>
                <xdr:col>3</xdr:col>
                <xdr:colOff>4763</xdr:colOff>
                <xdr:row>23</xdr:row>
                <xdr:rowOff>28575</xdr:rowOff>
              </from>
              <to>
                <xdr:col>4</xdr:col>
                <xdr:colOff>33338</xdr:colOff>
                <xdr:row>25</xdr:row>
                <xdr:rowOff>33338</xdr:rowOff>
              </to>
            </anchor>
          </controlPr>
        </control>
      </mc:Choice>
      <mc:Fallback>
        <control shapeId="4102" r:id="rId14" name="CommandButton5"/>
      </mc:Fallback>
    </mc:AlternateContent>
    <mc:AlternateContent xmlns:mc="http://schemas.openxmlformats.org/markup-compatibility/2006">
      <mc:Choice Requires="x14">
        <control shapeId="4103" r:id="rId16" name="CommandButton6">
          <controlPr defaultSize="0" altText="" r:id="rId17">
            <anchor moveWithCells="1">
              <from>
                <xdr:col>0</xdr:col>
                <xdr:colOff>0</xdr:colOff>
                <xdr:row>25</xdr:row>
                <xdr:rowOff>142875</xdr:rowOff>
              </from>
              <to>
                <xdr:col>1</xdr:col>
                <xdr:colOff>95250</xdr:colOff>
                <xdr:row>27</xdr:row>
                <xdr:rowOff>147638</xdr:rowOff>
              </to>
            </anchor>
          </controlPr>
        </control>
      </mc:Choice>
      <mc:Fallback>
        <control shapeId="4103" r:id="rId16" name="CommandButton6"/>
      </mc:Fallback>
    </mc:AlternateContent>
    <mc:AlternateContent xmlns:mc="http://schemas.openxmlformats.org/markup-compatibility/2006">
      <mc:Choice Requires="x14">
        <control shapeId="4104" r:id="rId18" name="CommandButton7">
          <controlPr defaultSize="0" altText="" r:id="rId19">
            <anchor moveWithCells="1">
              <from>
                <xdr:col>1</xdr:col>
                <xdr:colOff>300038</xdr:colOff>
                <xdr:row>26</xdr:row>
                <xdr:rowOff>4763</xdr:rowOff>
              </from>
              <to>
                <xdr:col>2</xdr:col>
                <xdr:colOff>457200</xdr:colOff>
                <xdr:row>28</xdr:row>
                <xdr:rowOff>9525</xdr:rowOff>
              </to>
            </anchor>
          </controlPr>
        </control>
      </mc:Choice>
      <mc:Fallback>
        <control shapeId="4104" r:id="rId18" name="CommandButton7"/>
      </mc:Fallback>
    </mc:AlternateContent>
    <mc:AlternateContent xmlns:mc="http://schemas.openxmlformats.org/markup-compatibility/2006">
      <mc:Choice Requires="x14">
        <control shapeId="4105" r:id="rId20" name="CommandButton8">
          <controlPr defaultSize="0" altText="" r:id="rId21">
            <anchor moveWithCells="1">
              <from>
                <xdr:col>2</xdr:col>
                <xdr:colOff>604838</xdr:colOff>
                <xdr:row>25</xdr:row>
                <xdr:rowOff>166688</xdr:rowOff>
              </from>
              <to>
                <xdr:col>3</xdr:col>
                <xdr:colOff>1133475</xdr:colOff>
                <xdr:row>27</xdr:row>
                <xdr:rowOff>171450</xdr:rowOff>
              </to>
            </anchor>
          </controlPr>
        </control>
      </mc:Choice>
      <mc:Fallback>
        <control shapeId="4105" r:id="rId20" name="CommandButton8"/>
      </mc:Fallback>
    </mc:AlternateContent>
    <mc:AlternateContent xmlns:mc="http://schemas.openxmlformats.org/markup-compatibility/2006">
      <mc:Choice Requires="x14">
        <control shapeId="4106" r:id="rId22" name="CommandButton10">
          <controlPr defaultSize="0" altText="" r:id="rId23">
            <anchor moveWithCells="1">
              <from>
                <xdr:col>4</xdr:col>
                <xdr:colOff>257175</xdr:colOff>
                <xdr:row>20</xdr:row>
                <xdr:rowOff>47625</xdr:rowOff>
              </from>
              <to>
                <xdr:col>5</xdr:col>
                <xdr:colOff>762000</xdr:colOff>
                <xdr:row>22</xdr:row>
                <xdr:rowOff>52388</xdr:rowOff>
              </to>
            </anchor>
          </controlPr>
        </control>
      </mc:Choice>
      <mc:Fallback>
        <control shapeId="4106" r:id="rId22" name="CommandButton10"/>
      </mc:Fallback>
    </mc:AlternateContent>
    <mc:AlternateContent xmlns:mc="http://schemas.openxmlformats.org/markup-compatibility/2006">
      <mc:Choice Requires="x14">
        <control shapeId="4107" r:id="rId24" name="CommandButton9">
          <controlPr defaultSize="0" altText="" r:id="rId25">
            <anchor moveWithCells="1">
              <from>
                <xdr:col>0</xdr:col>
                <xdr:colOff>0</xdr:colOff>
                <xdr:row>29</xdr:row>
                <xdr:rowOff>0</xdr:rowOff>
              </from>
              <to>
                <xdr:col>1</xdr:col>
                <xdr:colOff>95250</xdr:colOff>
                <xdr:row>31</xdr:row>
                <xdr:rowOff>4763</xdr:rowOff>
              </to>
            </anchor>
          </controlPr>
        </control>
      </mc:Choice>
      <mc:Fallback>
        <control shapeId="4107" r:id="rId24" name="CommandButton9"/>
      </mc:Fallback>
    </mc:AlternateContent>
    <mc:AlternateContent xmlns:mc="http://schemas.openxmlformats.org/markup-compatibility/2006">
      <mc:Choice Requires="x14">
        <control shapeId="4108" r:id="rId26" name="CommandButton11">
          <controlPr defaultSize="0" altText="" r:id="rId27">
            <anchor moveWithCells="1">
              <from>
                <xdr:col>1</xdr:col>
                <xdr:colOff>271463</xdr:colOff>
                <xdr:row>29</xdr:row>
                <xdr:rowOff>0</xdr:rowOff>
              </from>
              <to>
                <xdr:col>2</xdr:col>
                <xdr:colOff>428625</xdr:colOff>
                <xdr:row>31</xdr:row>
                <xdr:rowOff>4763</xdr:rowOff>
              </to>
            </anchor>
          </controlPr>
        </control>
      </mc:Choice>
      <mc:Fallback>
        <control shapeId="4108" r:id="rId26" name="CommandButton11"/>
      </mc:Fallback>
    </mc:AlternateContent>
    <mc:AlternateContent xmlns:mc="http://schemas.openxmlformats.org/markup-compatibility/2006">
      <mc:Choice Requires="x14">
        <control shapeId="4109" r:id="rId28" name="CommandButton12">
          <controlPr defaultSize="0" altText="" r:id="rId29">
            <anchor moveWithCells="1">
              <from>
                <xdr:col>3</xdr:col>
                <xdr:colOff>0</xdr:colOff>
                <xdr:row>29</xdr:row>
                <xdr:rowOff>9525</xdr:rowOff>
              </from>
              <to>
                <xdr:col>4</xdr:col>
                <xdr:colOff>28575</xdr:colOff>
                <xdr:row>31</xdr:row>
                <xdr:rowOff>14288</xdr:rowOff>
              </to>
            </anchor>
          </controlPr>
        </control>
      </mc:Choice>
      <mc:Fallback>
        <control shapeId="4109" r:id="rId28" name="CommandButton1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CP444"/>
  <sheetViews>
    <sheetView topLeftCell="O1" workbookViewId="0">
      <selection activeCell="U16" sqref="U16"/>
    </sheetView>
  </sheetViews>
  <sheetFormatPr defaultColWidth="8.86328125" defaultRowHeight="13.9" x14ac:dyDescent="0.4"/>
  <cols>
    <col min="1" max="1" width="15.06640625" customWidth="1"/>
    <col min="2" max="2" width="14.19921875" customWidth="1"/>
    <col min="3" max="3" width="9" customWidth="1"/>
    <col min="4" max="4" width="16" customWidth="1"/>
    <col min="5" max="5" width="9.33203125" customWidth="1"/>
    <col min="6" max="6" width="15" customWidth="1"/>
    <col min="7" max="7" width="11.86328125" customWidth="1"/>
    <col min="8" max="8" width="33.46484375" customWidth="1"/>
    <col min="9" max="9" width="11.86328125" customWidth="1"/>
    <col min="10" max="10" width="28.796875" customWidth="1"/>
    <col min="11" max="11" width="11.86328125" customWidth="1"/>
    <col min="12" max="12" width="33" customWidth="1"/>
    <col min="13" max="13" width="11.86328125" style="6" customWidth="1"/>
    <col min="14" max="14" width="29.796875" style="6" customWidth="1"/>
    <col min="15" max="15" width="12.33203125" customWidth="1"/>
    <col min="16" max="16" width="5.1328125" customWidth="1"/>
    <col min="17" max="17" width="30.53125" customWidth="1"/>
    <col min="18" max="18" width="5.1328125" customWidth="1"/>
    <col min="19" max="19" width="26.19921875" customWidth="1"/>
    <col min="20" max="20" width="5.1328125" customWidth="1"/>
    <col min="21" max="21" width="30" customWidth="1"/>
    <col min="22" max="22" width="5.1328125" customWidth="1"/>
    <col min="23" max="23" width="27.1328125" customWidth="1"/>
    <col min="94" max="94" width="9.19921875"/>
  </cols>
  <sheetData>
    <row r="1" spans="1:94" x14ac:dyDescent="0.4">
      <c r="A1" s="7"/>
      <c r="B1" s="7"/>
      <c r="C1" s="7"/>
      <c r="D1" s="7"/>
      <c r="E1" s="7"/>
      <c r="F1" s="7"/>
      <c r="G1" s="55" t="s">
        <v>3084</v>
      </c>
      <c r="H1" s="55"/>
      <c r="I1" s="55" t="s">
        <v>3085</v>
      </c>
      <c r="J1" s="55"/>
      <c r="K1" s="55" t="s">
        <v>3086</v>
      </c>
      <c r="L1" s="55"/>
      <c r="M1" s="55" t="s">
        <v>3087</v>
      </c>
      <c r="N1" s="55"/>
      <c r="P1" s="56" t="s">
        <v>3088</v>
      </c>
      <c r="Q1" s="56"/>
      <c r="R1" s="56" t="s">
        <v>3089</v>
      </c>
      <c r="S1" s="56"/>
      <c r="T1" s="56" t="s">
        <v>3090</v>
      </c>
      <c r="U1" s="56"/>
      <c r="V1" s="56" t="s">
        <v>3091</v>
      </c>
      <c r="W1" s="56"/>
    </row>
    <row r="2" spans="1:94" x14ac:dyDescent="0.4">
      <c r="A2" s="51" t="s">
        <v>18</v>
      </c>
      <c r="B2" s="48"/>
      <c r="C2" s="48"/>
      <c r="D2" s="48"/>
      <c r="E2" s="8"/>
      <c r="F2" s="7"/>
      <c r="G2" s="9" t="s">
        <v>19</v>
      </c>
      <c r="H2" s="9" t="s">
        <v>20</v>
      </c>
      <c r="I2" s="9" t="s">
        <v>19</v>
      </c>
      <c r="J2" s="9" t="s">
        <v>20</v>
      </c>
      <c r="K2" s="9" t="s">
        <v>19</v>
      </c>
      <c r="L2" s="9" t="s">
        <v>20</v>
      </c>
      <c r="M2" s="9" t="s">
        <v>19</v>
      </c>
      <c r="N2" s="9" t="s">
        <v>20</v>
      </c>
      <c r="O2" s="24"/>
      <c r="P2" s="25" t="s">
        <v>21</v>
      </c>
      <c r="Q2" s="25" t="s">
        <v>22</v>
      </c>
      <c r="R2" s="25" t="s">
        <v>21</v>
      </c>
      <c r="S2" s="25" t="s">
        <v>22</v>
      </c>
      <c r="T2" s="25" t="s">
        <v>21</v>
      </c>
      <c r="U2" s="25" t="s">
        <v>22</v>
      </c>
      <c r="V2" s="25" t="s">
        <v>21</v>
      </c>
      <c r="W2" s="25" t="s">
        <v>22</v>
      </c>
      <c r="CP2" t="e">
        <f>VLOOKUP(1,#REF!,2,FALSE)</f>
        <v>#REF!</v>
      </c>
    </row>
    <row r="3" spans="1:94" x14ac:dyDescent="0.4">
      <c r="A3" s="48"/>
      <c r="B3" s="48"/>
      <c r="C3" s="48"/>
      <c r="D3" s="48"/>
      <c r="E3" s="47" t="s">
        <v>23</v>
      </c>
      <c r="F3" s="48"/>
      <c r="G3" s="10" t="s">
        <v>3092</v>
      </c>
      <c r="H3" s="5" t="str">
        <f t="shared" ref="H3:L3" si="0">IF(IF(EXACT(Q3,G3)=TRUE,"Y","N")="Y","",VLOOKUP(IF(EXACT(Q3,G3)=TRUE,"Y","N"),P3:Q3,2,FALSE))</f>
        <v/>
      </c>
      <c r="I3" s="26" t="s">
        <v>3093</v>
      </c>
      <c r="J3" s="5" t="str">
        <f t="shared" si="0"/>
        <v/>
      </c>
      <c r="K3" s="10" t="s">
        <v>3094</v>
      </c>
      <c r="L3" s="5" t="str">
        <f t="shared" si="0"/>
        <v/>
      </c>
      <c r="M3" s="10" t="s">
        <v>640</v>
      </c>
      <c r="N3" s="5" t="str">
        <f>IF(IF(EXACT(W3,M3)=TRUE,"Y","N")="Y","",VLOOKUP(IF(EXACT(W3,M3)=TRUE,"Y","N"),V3:W3,2,FALSE))</f>
        <v/>
      </c>
      <c r="O3" s="24"/>
      <c r="P3" s="6" t="str">
        <f t="shared" ref="P3:T3" si="1">IF(EXACT(Q3,G3)=TRUE,"Y","N")</f>
        <v>Y</v>
      </c>
      <c r="Q3" s="6" t="s">
        <v>3092</v>
      </c>
      <c r="R3" t="str">
        <f t="shared" si="1"/>
        <v>Y</v>
      </c>
      <c r="S3" t="s">
        <v>3093</v>
      </c>
      <c r="T3" t="str">
        <f t="shared" si="1"/>
        <v>Y</v>
      </c>
      <c r="U3" s="6" t="s">
        <v>3094</v>
      </c>
      <c r="V3" s="6" t="str">
        <f>IF(EXACT(W3,M3)=TRUE,"Y","N")</f>
        <v>Y</v>
      </c>
      <c r="W3" s="6" t="s">
        <v>640</v>
      </c>
    </row>
    <row r="4" spans="1:94" x14ac:dyDescent="0.4">
      <c r="A4" s="2" t="s">
        <v>33</v>
      </c>
      <c r="B4" s="3" t="s">
        <v>34</v>
      </c>
      <c r="C4" s="3" t="s">
        <v>35</v>
      </c>
      <c r="D4" s="4" t="s">
        <v>36</v>
      </c>
      <c r="E4" s="8"/>
      <c r="F4" s="7"/>
      <c r="G4" s="6"/>
      <c r="H4" s="5"/>
      <c r="I4" s="24"/>
      <c r="J4" s="5"/>
      <c r="K4" s="24"/>
      <c r="L4" s="5"/>
      <c r="M4" s="27"/>
      <c r="N4" s="5"/>
      <c r="P4" s="6" t="str">
        <f t="shared" ref="P4:T4" si="2">IF(EXACT(Q4,G4)=TRUE,"Y","N")</f>
        <v>N</v>
      </c>
      <c r="Q4" s="6" t="s">
        <v>119</v>
      </c>
      <c r="R4" t="str">
        <f t="shared" si="2"/>
        <v>N</v>
      </c>
      <c r="S4" t="s">
        <v>453</v>
      </c>
      <c r="T4" t="str">
        <f t="shared" si="2"/>
        <v>N</v>
      </c>
      <c r="U4" s="6" t="s">
        <v>1059</v>
      </c>
      <c r="V4" s="6" t="str">
        <f>IF(EXACT(W4,M4)=TRUE,"Y","N")</f>
        <v>N</v>
      </c>
      <c r="W4" s="6" t="s">
        <v>1048</v>
      </c>
    </row>
    <row r="5" spans="1:94" x14ac:dyDescent="0.4">
      <c r="A5" s="11" t="s">
        <v>46</v>
      </c>
      <c r="B5" s="12">
        <f>COUNTA(Q3:Q336)</f>
        <v>334</v>
      </c>
      <c r="C5" s="12">
        <f>COUNTBLANK(H3:H336)</f>
        <v>334</v>
      </c>
      <c r="D5" s="13">
        <f>C5/B5</f>
        <v>1</v>
      </c>
      <c r="E5" s="8"/>
      <c r="F5" s="7"/>
      <c r="G5" s="6"/>
      <c r="H5" s="5"/>
      <c r="I5" s="24"/>
      <c r="J5" s="5"/>
      <c r="K5" s="24"/>
      <c r="L5" s="5"/>
      <c r="M5" s="27"/>
      <c r="N5" s="5"/>
      <c r="P5" s="6" t="str">
        <f t="shared" ref="P5:T5" si="3">IF(EXACT(Q5,G5)=TRUE,"Y","N")</f>
        <v>N</v>
      </c>
      <c r="Q5" s="6" t="s">
        <v>1849</v>
      </c>
      <c r="R5" t="str">
        <f t="shared" si="3"/>
        <v>N</v>
      </c>
      <c r="S5" t="s">
        <v>3095</v>
      </c>
      <c r="T5" t="str">
        <f t="shared" si="3"/>
        <v>N</v>
      </c>
      <c r="U5" s="6" t="s">
        <v>3096</v>
      </c>
      <c r="V5" s="6" t="str">
        <f>IF(EXACT(W5,M5)=TRUE,"Y","N")</f>
        <v>N</v>
      </c>
      <c r="W5" s="6" t="s">
        <v>3097</v>
      </c>
    </row>
    <row r="6" spans="1:94" x14ac:dyDescent="0.4">
      <c r="A6" s="14" t="s">
        <v>56</v>
      </c>
      <c r="B6" s="15">
        <f>COUNTA(S3:S367)</f>
        <v>365</v>
      </c>
      <c r="C6" s="15">
        <f>COUNTBLANK(J3:J367)</f>
        <v>365</v>
      </c>
      <c r="D6" s="16">
        <f>C6/B6</f>
        <v>1</v>
      </c>
      <c r="E6" s="8"/>
      <c r="F6" s="7"/>
      <c r="G6" s="6"/>
      <c r="H6" s="5"/>
      <c r="I6" s="24"/>
      <c r="J6" s="5"/>
      <c r="K6" s="24"/>
      <c r="L6" s="5"/>
      <c r="M6" s="27"/>
      <c r="N6" s="5"/>
      <c r="P6" s="6" t="str">
        <f t="shared" ref="P6:P69" si="4">IF(EXACT(Q6,W6)=TRUE,"Y","N")</f>
        <v>N</v>
      </c>
      <c r="Q6" s="6" t="s">
        <v>147</v>
      </c>
      <c r="R6" t="str">
        <f t="shared" ref="R6:V6" si="5">IF(EXACT(S6,I6)=TRUE,"Y","N")</f>
        <v>N</v>
      </c>
      <c r="S6" t="s">
        <v>3098</v>
      </c>
      <c r="T6" t="str">
        <f t="shared" si="5"/>
        <v>N</v>
      </c>
      <c r="U6" s="6" t="s">
        <v>3099</v>
      </c>
      <c r="V6" s="6" t="str">
        <f t="shared" si="5"/>
        <v>N</v>
      </c>
      <c r="W6" s="6" t="s">
        <v>3100</v>
      </c>
    </row>
    <row r="7" spans="1:94" x14ac:dyDescent="0.4">
      <c r="A7" s="17" t="s">
        <v>66</v>
      </c>
      <c r="B7" s="18">
        <f>COUNTA(U3:U311)</f>
        <v>309</v>
      </c>
      <c r="C7" s="18">
        <f>COUNTBLANK(L3:L311)</f>
        <v>309</v>
      </c>
      <c r="D7" s="19">
        <f>C7/B7</f>
        <v>1</v>
      </c>
      <c r="E7" s="8"/>
      <c r="F7" s="7"/>
      <c r="G7" s="6"/>
      <c r="H7" s="5"/>
      <c r="I7" s="24"/>
      <c r="J7" s="5"/>
      <c r="K7" s="24"/>
      <c r="L7" s="5"/>
      <c r="M7" s="27"/>
      <c r="N7" s="5"/>
      <c r="P7" s="6" t="str">
        <f t="shared" si="4"/>
        <v>N</v>
      </c>
      <c r="Q7" s="6" t="s">
        <v>1337</v>
      </c>
      <c r="R7" t="str">
        <f t="shared" ref="R7:V7" si="6">IF(EXACT(S7,I7)=TRUE,"Y","N")</f>
        <v>N</v>
      </c>
      <c r="S7" t="s">
        <v>3101</v>
      </c>
      <c r="T7" t="str">
        <f t="shared" si="6"/>
        <v>N</v>
      </c>
      <c r="U7" s="6" t="s">
        <v>3102</v>
      </c>
      <c r="V7" s="6" t="str">
        <f t="shared" si="6"/>
        <v>N</v>
      </c>
      <c r="W7" s="6" t="s">
        <v>3103</v>
      </c>
    </row>
    <row r="8" spans="1:94" x14ac:dyDescent="0.4">
      <c r="A8" s="14" t="s">
        <v>76</v>
      </c>
      <c r="B8" s="15">
        <f>COUNTA(W3:W444)</f>
        <v>442</v>
      </c>
      <c r="C8" s="15">
        <f>COUNTBLANK(N3:N444)</f>
        <v>442</v>
      </c>
      <c r="D8" s="16">
        <f>C8/B8</f>
        <v>1</v>
      </c>
      <c r="E8" s="8"/>
      <c r="F8" s="7"/>
      <c r="G8" s="6"/>
      <c r="H8" s="5"/>
      <c r="I8" s="24"/>
      <c r="J8" s="5"/>
      <c r="K8" s="24"/>
      <c r="L8" s="5"/>
      <c r="M8" s="27"/>
      <c r="N8" s="5"/>
      <c r="P8" s="6" t="str">
        <f t="shared" si="4"/>
        <v>N</v>
      </c>
      <c r="Q8" s="6" t="s">
        <v>3104</v>
      </c>
      <c r="R8" t="str">
        <f t="shared" ref="R8:V8" si="7">IF(EXACT(S8,I8)=TRUE,"Y","N")</f>
        <v>N</v>
      </c>
      <c r="S8" t="s">
        <v>3105</v>
      </c>
      <c r="T8" t="str">
        <f t="shared" si="7"/>
        <v>N</v>
      </c>
      <c r="U8" s="6" t="s">
        <v>3106</v>
      </c>
      <c r="V8" s="6" t="str">
        <f t="shared" si="7"/>
        <v>N</v>
      </c>
      <c r="W8" s="6" t="s">
        <v>3107</v>
      </c>
    </row>
    <row r="9" spans="1:94" x14ac:dyDescent="0.4">
      <c r="A9" s="20" t="s">
        <v>136</v>
      </c>
      <c r="B9" s="21">
        <f>SUM(B5:B8)</f>
        <v>1450</v>
      </c>
      <c r="C9" s="21">
        <f>SUM(C5:C8)</f>
        <v>1450</v>
      </c>
      <c r="D9" s="22">
        <f>C9/B9</f>
        <v>1</v>
      </c>
      <c r="E9" s="8"/>
      <c r="F9" s="7"/>
      <c r="G9" s="6"/>
      <c r="H9" s="5"/>
      <c r="I9" s="24"/>
      <c r="J9" s="5"/>
      <c r="K9" s="24"/>
      <c r="L9" s="5"/>
      <c r="M9" s="27"/>
      <c r="N9" s="5"/>
      <c r="P9" s="6" t="str">
        <f t="shared" si="4"/>
        <v>N</v>
      </c>
      <c r="Q9" s="6" t="s">
        <v>3108</v>
      </c>
      <c r="R9" t="str">
        <f t="shared" ref="R9:V9" si="8">IF(EXACT(S9,I9)=TRUE,"Y","N")</f>
        <v>N</v>
      </c>
      <c r="S9" t="s">
        <v>184</v>
      </c>
      <c r="T9" t="str">
        <f t="shared" si="8"/>
        <v>N</v>
      </c>
      <c r="U9" s="6" t="s">
        <v>3109</v>
      </c>
      <c r="V9" s="6" t="str">
        <f t="shared" si="8"/>
        <v>N</v>
      </c>
      <c r="W9" s="6" t="s">
        <v>3110</v>
      </c>
    </row>
    <row r="10" spans="1:94" x14ac:dyDescent="0.4">
      <c r="A10" s="7"/>
      <c r="B10" s="7"/>
      <c r="C10" s="7"/>
      <c r="D10" s="7"/>
      <c r="E10" s="8"/>
      <c r="F10" s="7"/>
      <c r="G10" s="6"/>
      <c r="H10" s="5"/>
      <c r="I10" s="24"/>
      <c r="J10" s="5"/>
      <c r="K10" s="24"/>
      <c r="L10" s="5"/>
      <c r="M10" s="27"/>
      <c r="N10" s="5"/>
      <c r="P10" s="6" t="str">
        <f t="shared" si="4"/>
        <v>N</v>
      </c>
      <c r="Q10" s="6" t="s">
        <v>3111</v>
      </c>
      <c r="R10" t="str">
        <f t="shared" ref="R10:V10" si="9">IF(EXACT(S10,I10)=TRUE,"Y","N")</f>
        <v>N</v>
      </c>
      <c r="S10" t="s">
        <v>1342</v>
      </c>
      <c r="T10" t="str">
        <f t="shared" si="9"/>
        <v>N</v>
      </c>
      <c r="U10" s="6" t="s">
        <v>161</v>
      </c>
      <c r="V10" s="6" t="str">
        <f t="shared" si="9"/>
        <v>N</v>
      </c>
      <c r="W10" s="6" t="s">
        <v>1187</v>
      </c>
    </row>
    <row r="11" spans="1:94" x14ac:dyDescent="0.4">
      <c r="A11" s="7"/>
      <c r="B11" s="7"/>
      <c r="C11" s="7"/>
      <c r="D11" s="7"/>
      <c r="E11" s="8"/>
      <c r="F11" s="23"/>
      <c r="G11" s="6"/>
      <c r="H11" s="5"/>
      <c r="I11" s="24"/>
      <c r="J11" s="5"/>
      <c r="K11" s="24"/>
      <c r="L11" s="5"/>
      <c r="M11" s="27"/>
      <c r="N11" s="5"/>
      <c r="P11" s="6" t="str">
        <f t="shared" si="4"/>
        <v>N</v>
      </c>
      <c r="Q11" s="6" t="s">
        <v>3112</v>
      </c>
      <c r="R11" t="str">
        <f t="shared" ref="R11:V11" si="10">IF(EXACT(S11,I11)=TRUE,"Y","N")</f>
        <v>N</v>
      </c>
      <c r="S11" t="s">
        <v>123</v>
      </c>
      <c r="T11" t="str">
        <f t="shared" si="10"/>
        <v>N</v>
      </c>
      <c r="U11" s="6" t="s">
        <v>3113</v>
      </c>
      <c r="V11" s="6" t="str">
        <f t="shared" si="10"/>
        <v>N</v>
      </c>
      <c r="W11" s="6" t="s">
        <v>3114</v>
      </c>
    </row>
    <row r="12" spans="1:94" x14ac:dyDescent="0.4">
      <c r="A12" s="7"/>
      <c r="B12" s="7"/>
      <c r="C12" s="7"/>
      <c r="D12" s="7"/>
      <c r="E12" s="8"/>
      <c r="F12" s="7"/>
      <c r="G12" s="6"/>
      <c r="H12" s="5"/>
      <c r="I12" s="24"/>
      <c r="J12" s="5"/>
      <c r="K12" s="24"/>
      <c r="L12" s="5"/>
      <c r="M12" s="27"/>
      <c r="N12" s="5"/>
      <c r="P12" s="6" t="str">
        <f t="shared" si="4"/>
        <v>N</v>
      </c>
      <c r="Q12" s="6" t="s">
        <v>3115</v>
      </c>
      <c r="R12" t="str">
        <f t="shared" ref="R12:V12" si="11">IF(EXACT(S12,I12)=TRUE,"Y","N")</f>
        <v>N</v>
      </c>
      <c r="S12" t="s">
        <v>495</v>
      </c>
      <c r="T12" t="str">
        <f t="shared" si="11"/>
        <v>N</v>
      </c>
      <c r="U12" s="6" t="s">
        <v>3116</v>
      </c>
      <c r="V12" s="6" t="str">
        <f t="shared" si="11"/>
        <v>N</v>
      </c>
      <c r="W12" s="6" t="s">
        <v>1314</v>
      </c>
    </row>
    <row r="13" spans="1:94" x14ac:dyDescent="0.4">
      <c r="A13" s="7"/>
      <c r="B13" s="7"/>
      <c r="C13" s="7"/>
      <c r="D13" s="7"/>
      <c r="E13" s="8"/>
      <c r="F13" s="7"/>
      <c r="G13" s="6"/>
      <c r="H13" s="5"/>
      <c r="I13" s="24"/>
      <c r="J13" s="5"/>
      <c r="K13" s="24"/>
      <c r="L13" s="5"/>
      <c r="M13" s="27"/>
      <c r="N13" s="5"/>
      <c r="P13" s="6" t="str">
        <f t="shared" si="4"/>
        <v>N</v>
      </c>
      <c r="Q13" s="6" t="s">
        <v>2396</v>
      </c>
      <c r="R13" t="str">
        <f t="shared" ref="R13:V13" si="12">IF(EXACT(S13,I13)=TRUE,"Y","N")</f>
        <v>N</v>
      </c>
      <c r="S13" t="s">
        <v>3117</v>
      </c>
      <c r="T13" t="str">
        <f t="shared" si="12"/>
        <v>N</v>
      </c>
      <c r="U13" s="6" t="s">
        <v>3118</v>
      </c>
      <c r="V13" s="6" t="str">
        <f t="shared" si="12"/>
        <v>N</v>
      </c>
      <c r="W13" s="6" t="s">
        <v>3119</v>
      </c>
    </row>
    <row r="14" spans="1:94" x14ac:dyDescent="0.4">
      <c r="A14" s="7"/>
      <c r="B14" s="7"/>
      <c r="C14" s="7"/>
      <c r="D14" s="7"/>
      <c r="E14" s="8"/>
      <c r="F14" s="7"/>
      <c r="G14" s="6"/>
      <c r="H14" s="5"/>
      <c r="I14" s="24"/>
      <c r="J14" s="5"/>
      <c r="K14" s="24"/>
      <c r="L14" s="5"/>
      <c r="M14" s="27"/>
      <c r="N14" s="5"/>
      <c r="P14" s="6" t="str">
        <f t="shared" si="4"/>
        <v>N</v>
      </c>
      <c r="Q14" s="6" t="s">
        <v>3105</v>
      </c>
      <c r="R14" t="str">
        <f t="shared" ref="R14:V14" si="13">IF(EXACT(S14,I14)=TRUE,"Y","N")</f>
        <v>N</v>
      </c>
      <c r="S14" t="s">
        <v>3120</v>
      </c>
      <c r="T14" t="str">
        <f t="shared" si="13"/>
        <v>N</v>
      </c>
      <c r="U14" s="6" t="s">
        <v>3121</v>
      </c>
      <c r="V14" s="6" t="str">
        <f t="shared" si="13"/>
        <v>N</v>
      </c>
      <c r="W14" s="6" t="s">
        <v>3122</v>
      </c>
    </row>
    <row r="15" spans="1:94" x14ac:dyDescent="0.4">
      <c r="A15" s="8"/>
      <c r="B15" s="8"/>
      <c r="C15" s="8"/>
      <c r="D15" s="8"/>
      <c r="E15" s="8"/>
      <c r="F15" s="7"/>
      <c r="G15" s="6"/>
      <c r="H15" s="5"/>
      <c r="I15" s="24"/>
      <c r="J15" s="5"/>
      <c r="K15" s="24"/>
      <c r="L15" s="5"/>
      <c r="M15" s="27"/>
      <c r="N15" s="5"/>
      <c r="P15" s="6" t="str">
        <f t="shared" si="4"/>
        <v>N</v>
      </c>
      <c r="Q15" s="6" t="s">
        <v>3123</v>
      </c>
      <c r="R15" t="str">
        <f t="shared" ref="R15:V15" si="14">IF(EXACT(S15,I15)=TRUE,"Y","N")</f>
        <v>N</v>
      </c>
      <c r="S15" t="s">
        <v>3124</v>
      </c>
      <c r="T15" t="str">
        <f t="shared" si="14"/>
        <v>N</v>
      </c>
      <c r="U15" s="6" t="s">
        <v>846</v>
      </c>
      <c r="V15" s="6" t="str">
        <f t="shared" si="14"/>
        <v>N</v>
      </c>
      <c r="W15" s="6" t="s">
        <v>3125</v>
      </c>
    </row>
    <row r="16" spans="1:94" x14ac:dyDescent="0.4">
      <c r="A16" s="8"/>
      <c r="B16" s="8"/>
      <c r="C16" s="8"/>
      <c r="D16" s="8"/>
      <c r="E16" s="8"/>
      <c r="F16" s="7"/>
      <c r="G16" s="6"/>
      <c r="H16" s="5"/>
      <c r="I16" s="24"/>
      <c r="J16" s="5"/>
      <c r="K16" s="24"/>
      <c r="L16" s="5"/>
      <c r="M16" s="27"/>
      <c r="N16" s="5"/>
      <c r="P16" s="6" t="str">
        <f t="shared" si="4"/>
        <v>N</v>
      </c>
      <c r="Q16" s="6" t="s">
        <v>5748</v>
      </c>
      <c r="R16" t="str">
        <f t="shared" ref="R16:V16" si="15">IF(EXACT(S16,I16)=TRUE,"Y","N")</f>
        <v>N</v>
      </c>
      <c r="S16" t="s">
        <v>254</v>
      </c>
      <c r="T16" t="str">
        <f t="shared" si="15"/>
        <v>N</v>
      </c>
      <c r="U16" s="6" t="s">
        <v>3126</v>
      </c>
      <c r="V16" s="6" t="str">
        <f t="shared" si="15"/>
        <v>N</v>
      </c>
      <c r="W16" s="6" t="s">
        <v>3127</v>
      </c>
    </row>
    <row r="17" spans="1:23" x14ac:dyDescent="0.4">
      <c r="A17" s="8"/>
      <c r="B17" s="8"/>
      <c r="C17" s="8"/>
      <c r="D17" s="8"/>
      <c r="E17" s="8"/>
      <c r="F17" s="7"/>
      <c r="G17" s="6"/>
      <c r="H17" s="5"/>
      <c r="I17" s="24"/>
      <c r="J17" s="5"/>
      <c r="K17" s="24"/>
      <c r="L17" s="5"/>
      <c r="M17" s="27"/>
      <c r="N17" s="5"/>
      <c r="P17" s="6" t="str">
        <f t="shared" si="4"/>
        <v>N</v>
      </c>
      <c r="Q17" s="6" t="s">
        <v>3128</v>
      </c>
      <c r="R17" t="str">
        <f t="shared" ref="R17:V17" si="16">IF(EXACT(S17,I17)=TRUE,"Y","N")</f>
        <v>N</v>
      </c>
      <c r="S17" t="s">
        <v>3129</v>
      </c>
      <c r="T17" t="str">
        <f t="shared" si="16"/>
        <v>N</v>
      </c>
      <c r="U17" s="6" t="s">
        <v>3130</v>
      </c>
      <c r="V17" s="6" t="str">
        <f t="shared" si="16"/>
        <v>N</v>
      </c>
      <c r="W17" s="6" t="s">
        <v>3131</v>
      </c>
    </row>
    <row r="18" spans="1:23" x14ac:dyDescent="0.4">
      <c r="A18" s="8"/>
      <c r="B18" s="8"/>
      <c r="C18" s="8"/>
      <c r="D18" s="8"/>
      <c r="E18" s="8"/>
      <c r="F18" s="7"/>
      <c r="G18" s="24"/>
      <c r="H18" s="5"/>
      <c r="I18" s="24"/>
      <c r="J18" s="5"/>
      <c r="K18" s="24"/>
      <c r="L18" s="5"/>
      <c r="M18" s="27"/>
      <c r="N18" s="5"/>
      <c r="P18" s="6" t="str">
        <f t="shared" si="4"/>
        <v>N</v>
      </c>
      <c r="Q18" s="6" t="s">
        <v>353</v>
      </c>
      <c r="R18" t="str">
        <f t="shared" ref="R18:V18" si="17">IF(EXACT(S18,I18)=TRUE,"Y","N")</f>
        <v>N</v>
      </c>
      <c r="S18" t="s">
        <v>3132</v>
      </c>
      <c r="T18" t="str">
        <f t="shared" si="17"/>
        <v>N</v>
      </c>
      <c r="U18" s="6" t="s">
        <v>3133</v>
      </c>
      <c r="V18" s="6" t="str">
        <f t="shared" si="17"/>
        <v>N</v>
      </c>
      <c r="W18" s="6" t="s">
        <v>3134</v>
      </c>
    </row>
    <row r="19" spans="1:23" x14ac:dyDescent="0.4">
      <c r="A19" s="8"/>
      <c r="B19" s="8"/>
      <c r="C19" s="8"/>
      <c r="D19" s="8"/>
      <c r="E19" s="8"/>
      <c r="F19" s="7"/>
      <c r="G19" s="24"/>
      <c r="H19" s="5"/>
      <c r="I19" s="24"/>
      <c r="J19" s="5"/>
      <c r="K19" s="24"/>
      <c r="L19" s="5"/>
      <c r="M19" s="27"/>
      <c r="N19" s="5"/>
      <c r="P19" s="6" t="str">
        <f t="shared" si="4"/>
        <v>N</v>
      </c>
      <c r="Q19" s="6" t="s">
        <v>1562</v>
      </c>
      <c r="R19" t="str">
        <f t="shared" ref="R19:V19" si="18">IF(EXACT(S19,I19)=TRUE,"Y","N")</f>
        <v>N</v>
      </c>
      <c r="S19" t="s">
        <v>3135</v>
      </c>
      <c r="T19" t="str">
        <f t="shared" si="18"/>
        <v>N</v>
      </c>
      <c r="U19" s="6" t="s">
        <v>382</v>
      </c>
      <c r="V19" s="6" t="str">
        <f t="shared" si="18"/>
        <v>N</v>
      </c>
      <c r="W19" s="6" t="s">
        <v>3136</v>
      </c>
    </row>
    <row r="20" spans="1:23" x14ac:dyDescent="0.4">
      <c r="A20" s="52" t="s">
        <v>244</v>
      </c>
      <c r="B20" s="53"/>
      <c r="C20" s="53"/>
      <c r="D20" s="53"/>
      <c r="E20" s="7"/>
      <c r="F20" s="7"/>
      <c r="G20" s="24"/>
      <c r="H20" s="5"/>
      <c r="I20" s="24"/>
      <c r="J20" s="5"/>
      <c r="K20" s="24"/>
      <c r="L20" s="5"/>
      <c r="M20" s="27"/>
      <c r="N20" s="5"/>
      <c r="P20" s="6" t="str">
        <f t="shared" si="4"/>
        <v>N</v>
      </c>
      <c r="Q20" s="6" t="s">
        <v>3137</v>
      </c>
      <c r="R20" t="str">
        <f t="shared" ref="R20:V20" si="19">IF(EXACT(S20,I20)=TRUE,"Y","N")</f>
        <v>N</v>
      </c>
      <c r="S20" t="s">
        <v>3138</v>
      </c>
      <c r="T20" t="str">
        <f t="shared" si="19"/>
        <v>N</v>
      </c>
      <c r="U20" s="6" t="s">
        <v>3139</v>
      </c>
      <c r="V20" s="6" t="str">
        <f t="shared" si="19"/>
        <v>N</v>
      </c>
      <c r="W20" s="6" t="s">
        <v>3140</v>
      </c>
    </row>
    <row r="21" spans="1:23" x14ac:dyDescent="0.4">
      <c r="A21" s="53"/>
      <c r="B21" s="53"/>
      <c r="C21" s="53"/>
      <c r="D21" s="53"/>
      <c r="E21" s="7"/>
      <c r="F21" s="7"/>
      <c r="G21" s="24"/>
      <c r="H21" s="5"/>
      <c r="I21" s="24"/>
      <c r="J21" s="5"/>
      <c r="K21" s="24"/>
      <c r="L21" s="5"/>
      <c r="M21" s="27"/>
      <c r="N21" s="5"/>
      <c r="P21" s="6" t="str">
        <f t="shared" si="4"/>
        <v>N</v>
      </c>
      <c r="Q21" s="6" t="s">
        <v>3078</v>
      </c>
      <c r="R21" t="str">
        <f t="shared" ref="R21:V21" si="20">IF(EXACT(S21,I21)=TRUE,"Y","N")</f>
        <v>N</v>
      </c>
      <c r="S21" t="s">
        <v>3141</v>
      </c>
      <c r="T21" t="str">
        <f t="shared" si="20"/>
        <v>N</v>
      </c>
      <c r="U21" s="6" t="s">
        <v>3142</v>
      </c>
      <c r="V21" s="6" t="str">
        <f t="shared" si="20"/>
        <v>N</v>
      </c>
      <c r="W21" s="6" t="s">
        <v>3143</v>
      </c>
    </row>
    <row r="22" spans="1:23" x14ac:dyDescent="0.4">
      <c r="A22" s="53"/>
      <c r="B22" s="53"/>
      <c r="C22" s="53"/>
      <c r="D22" s="53"/>
      <c r="E22" s="7"/>
      <c r="F22" s="7"/>
      <c r="G22" s="24"/>
      <c r="H22" s="5"/>
      <c r="I22" s="24"/>
      <c r="J22" s="5"/>
      <c r="K22" s="24"/>
      <c r="L22" s="5"/>
      <c r="M22" s="27"/>
      <c r="N22" s="5"/>
      <c r="P22" s="6" t="str">
        <f t="shared" si="4"/>
        <v>N</v>
      </c>
      <c r="Q22" s="6" t="s">
        <v>892</v>
      </c>
      <c r="R22" t="str">
        <f t="shared" ref="R22:V22" si="21">IF(EXACT(S22,I22)=TRUE,"Y","N")</f>
        <v>N</v>
      </c>
      <c r="S22" t="s">
        <v>320</v>
      </c>
      <c r="T22" t="str">
        <f t="shared" si="21"/>
        <v>N</v>
      </c>
      <c r="U22" s="6" t="s">
        <v>3144</v>
      </c>
      <c r="V22" s="6" t="str">
        <f t="shared" si="21"/>
        <v>N</v>
      </c>
      <c r="W22" s="6" t="s">
        <v>3145</v>
      </c>
    </row>
    <row r="23" spans="1:23" x14ac:dyDescent="0.4">
      <c r="A23" s="54"/>
      <c r="B23" s="53"/>
      <c r="C23" s="54"/>
      <c r="D23" s="54"/>
      <c r="E23" s="7"/>
      <c r="F23" s="7"/>
      <c r="G23" s="24"/>
      <c r="H23" s="5"/>
      <c r="I23" s="24"/>
      <c r="J23" s="5"/>
      <c r="K23" s="24"/>
      <c r="L23" s="5"/>
      <c r="M23" s="27"/>
      <c r="N23" s="5"/>
      <c r="P23" s="6" t="str">
        <f t="shared" si="4"/>
        <v>N</v>
      </c>
      <c r="Q23" s="6" t="s">
        <v>569</v>
      </c>
      <c r="R23" t="str">
        <f t="shared" ref="R23:V23" si="22">IF(EXACT(S23,I23)=TRUE,"Y","N")</f>
        <v>N</v>
      </c>
      <c r="S23" t="s">
        <v>1296</v>
      </c>
      <c r="T23" t="str">
        <f t="shared" si="22"/>
        <v>N</v>
      </c>
      <c r="U23" s="6" t="s">
        <v>3146</v>
      </c>
      <c r="V23" s="6" t="str">
        <f t="shared" si="22"/>
        <v>N</v>
      </c>
      <c r="W23" s="6" t="s">
        <v>3147</v>
      </c>
    </row>
    <row r="24" spans="1:23" x14ac:dyDescent="0.4">
      <c r="A24" s="53"/>
      <c r="B24" s="53"/>
      <c r="C24" s="53"/>
      <c r="D24" s="53"/>
      <c r="E24" s="7"/>
      <c r="F24" s="7"/>
      <c r="G24" s="24"/>
      <c r="H24" s="5"/>
      <c r="I24" s="24"/>
      <c r="J24" s="5"/>
      <c r="K24" s="24"/>
      <c r="L24" s="5"/>
      <c r="M24" s="27"/>
      <c r="N24" s="5"/>
      <c r="P24" s="6" t="str">
        <f t="shared" si="4"/>
        <v>N</v>
      </c>
      <c r="Q24" s="6" t="s">
        <v>695</v>
      </c>
      <c r="R24" t="str">
        <f t="shared" ref="R24:V24" si="23">IF(EXACT(S24,I24)=TRUE,"Y","N")</f>
        <v>N</v>
      </c>
      <c r="S24" t="s">
        <v>3148</v>
      </c>
      <c r="T24" t="str">
        <f t="shared" si="23"/>
        <v>N</v>
      </c>
      <c r="U24" s="6" t="s">
        <v>1125</v>
      </c>
      <c r="V24" s="6" t="str">
        <f t="shared" si="23"/>
        <v>N</v>
      </c>
      <c r="W24" s="6" t="s">
        <v>3149</v>
      </c>
    </row>
    <row r="25" spans="1:23" x14ac:dyDescent="0.4">
      <c r="A25" s="53"/>
      <c r="B25" s="53"/>
      <c r="C25" s="53"/>
      <c r="D25" s="53"/>
      <c r="E25" s="7"/>
      <c r="F25" s="7"/>
      <c r="G25" s="24"/>
      <c r="H25" s="5"/>
      <c r="I25" s="24"/>
      <c r="J25" s="5"/>
      <c r="K25" s="24"/>
      <c r="L25" s="5"/>
      <c r="M25" s="27"/>
      <c r="N25" s="5"/>
      <c r="P25" s="6" t="str">
        <f t="shared" si="4"/>
        <v>N</v>
      </c>
      <c r="Q25" s="6" t="s">
        <v>3150</v>
      </c>
      <c r="R25" t="str">
        <f t="shared" ref="R25:V25" si="24">IF(EXACT(S25,I25)=TRUE,"Y","N")</f>
        <v>N</v>
      </c>
      <c r="S25" t="s">
        <v>3151</v>
      </c>
      <c r="T25" t="str">
        <f t="shared" si="24"/>
        <v>N</v>
      </c>
      <c r="U25" s="6" t="s">
        <v>2094</v>
      </c>
      <c r="V25" s="6" t="str">
        <f t="shared" si="24"/>
        <v>N</v>
      </c>
      <c r="W25" s="6" t="s">
        <v>3152</v>
      </c>
    </row>
    <row r="26" spans="1:23" x14ac:dyDescent="0.4">
      <c r="A26" s="53"/>
      <c r="B26" s="53"/>
      <c r="C26" s="53"/>
      <c r="D26" s="53"/>
      <c r="E26" s="7"/>
      <c r="F26" s="7"/>
      <c r="G26" s="24"/>
      <c r="H26" s="5"/>
      <c r="I26" s="24"/>
      <c r="J26" s="5"/>
      <c r="K26" s="24"/>
      <c r="L26" s="5"/>
      <c r="M26" s="27"/>
      <c r="N26" s="5"/>
      <c r="P26" s="6" t="str">
        <f t="shared" si="4"/>
        <v>N</v>
      </c>
      <c r="Q26" s="6" t="s">
        <v>610</v>
      </c>
      <c r="R26" t="str">
        <f t="shared" ref="R26:V26" si="25">IF(EXACT(S26,I26)=TRUE,"Y","N")</f>
        <v>N</v>
      </c>
      <c r="S26" t="s">
        <v>3153</v>
      </c>
      <c r="T26" t="str">
        <f t="shared" si="25"/>
        <v>N</v>
      </c>
      <c r="U26" s="6" t="s">
        <v>1416</v>
      </c>
      <c r="V26" s="6" t="str">
        <f t="shared" si="25"/>
        <v>N</v>
      </c>
      <c r="W26" s="6" t="s">
        <v>1377</v>
      </c>
    </row>
    <row r="27" spans="1:23" x14ac:dyDescent="0.4">
      <c r="A27" s="54"/>
      <c r="B27" s="53"/>
      <c r="C27" s="54"/>
      <c r="D27" s="54"/>
      <c r="E27" s="7"/>
      <c r="F27" s="7"/>
      <c r="G27" s="24"/>
      <c r="H27" s="5"/>
      <c r="I27" s="24"/>
      <c r="J27" s="5"/>
      <c r="K27" s="24"/>
      <c r="L27" s="5"/>
      <c r="M27" s="27"/>
      <c r="N27" s="5"/>
      <c r="P27" s="6" t="str">
        <f t="shared" si="4"/>
        <v>N</v>
      </c>
      <c r="Q27" s="6" t="s">
        <v>3154</v>
      </c>
      <c r="R27" t="str">
        <f t="shared" ref="R27:V27" si="26">IF(EXACT(S27,I27)=TRUE,"Y","N")</f>
        <v>N</v>
      </c>
      <c r="S27" t="s">
        <v>3155</v>
      </c>
      <c r="T27" t="str">
        <f t="shared" si="26"/>
        <v>N</v>
      </c>
      <c r="U27" s="6" t="s">
        <v>410</v>
      </c>
      <c r="V27" s="6" t="str">
        <f t="shared" si="26"/>
        <v>N</v>
      </c>
      <c r="W27" s="6" t="s">
        <v>3156</v>
      </c>
    </row>
    <row r="28" spans="1:23" x14ac:dyDescent="0.4">
      <c r="A28" s="7"/>
      <c r="B28" s="7"/>
      <c r="C28" s="7"/>
      <c r="D28" s="7"/>
      <c r="E28" s="7"/>
      <c r="F28" s="7"/>
      <c r="G28" s="24"/>
      <c r="H28" s="5"/>
      <c r="I28" s="24"/>
      <c r="J28" s="5"/>
      <c r="K28" s="24"/>
      <c r="L28" s="5"/>
      <c r="M28" s="27"/>
      <c r="N28" s="5"/>
      <c r="P28" s="6" t="str">
        <f t="shared" si="4"/>
        <v>N</v>
      </c>
      <c r="Q28" s="6" t="s">
        <v>117</v>
      </c>
      <c r="R28" t="str">
        <f t="shared" ref="R28:V28" si="27">IF(EXACT(S28,I28)=TRUE,"Y","N")</f>
        <v>N</v>
      </c>
      <c r="S28" t="s">
        <v>3157</v>
      </c>
      <c r="T28" t="str">
        <f t="shared" si="27"/>
        <v>N</v>
      </c>
      <c r="U28" s="6" t="s">
        <v>792</v>
      </c>
      <c r="V28" s="6" t="str">
        <f t="shared" si="27"/>
        <v>N</v>
      </c>
      <c r="W28" s="6" t="s">
        <v>704</v>
      </c>
    </row>
    <row r="29" spans="1:23" x14ac:dyDescent="0.4">
      <c r="A29" s="7"/>
      <c r="B29" s="7"/>
      <c r="C29" s="7"/>
      <c r="D29" s="7"/>
      <c r="E29" s="7"/>
      <c r="F29" s="7"/>
      <c r="G29" s="24"/>
      <c r="H29" s="5"/>
      <c r="I29" s="24"/>
      <c r="J29" s="5"/>
      <c r="K29" s="24"/>
      <c r="L29" s="5"/>
      <c r="M29" s="27"/>
      <c r="N29" s="5"/>
      <c r="P29" s="6" t="str">
        <f t="shared" si="4"/>
        <v>N</v>
      </c>
      <c r="Q29" s="6" t="s">
        <v>3158</v>
      </c>
      <c r="R29" t="str">
        <f t="shared" ref="R29:V29" si="28">IF(EXACT(S29,I29)=TRUE,"Y","N")</f>
        <v>N</v>
      </c>
      <c r="S29" t="s">
        <v>3159</v>
      </c>
      <c r="T29" t="str">
        <f t="shared" si="28"/>
        <v>N</v>
      </c>
      <c r="U29" s="6" t="s">
        <v>3160</v>
      </c>
      <c r="V29" s="6" t="str">
        <f t="shared" si="28"/>
        <v>N</v>
      </c>
      <c r="W29" s="6" t="s">
        <v>3161</v>
      </c>
    </row>
    <row r="30" spans="1:23" x14ac:dyDescent="0.4">
      <c r="A30" s="7"/>
      <c r="B30" s="7"/>
      <c r="C30" s="7"/>
      <c r="D30" s="7"/>
      <c r="E30" s="7"/>
      <c r="F30" s="7"/>
      <c r="G30" s="24"/>
      <c r="H30" s="5"/>
      <c r="I30" s="24"/>
      <c r="J30" s="5"/>
      <c r="K30" s="24"/>
      <c r="L30" s="5"/>
      <c r="M30" s="27"/>
      <c r="N30" s="5"/>
      <c r="P30" s="6" t="str">
        <f t="shared" si="4"/>
        <v>N</v>
      </c>
      <c r="Q30" s="6" t="s">
        <v>3162</v>
      </c>
      <c r="R30" t="str">
        <f t="shared" ref="R30:V30" si="29">IF(EXACT(S30,I30)=TRUE,"Y","N")</f>
        <v>N</v>
      </c>
      <c r="S30" t="s">
        <v>3163</v>
      </c>
      <c r="T30" t="str">
        <f t="shared" si="29"/>
        <v>N</v>
      </c>
      <c r="U30" s="6" t="s">
        <v>3164</v>
      </c>
      <c r="V30" s="6" t="str">
        <f t="shared" si="29"/>
        <v>N</v>
      </c>
      <c r="W30" s="6" t="s">
        <v>3165</v>
      </c>
    </row>
    <row r="31" spans="1:23" x14ac:dyDescent="0.4">
      <c r="E31" s="7"/>
      <c r="F31" s="7"/>
      <c r="G31" s="24"/>
      <c r="H31" s="5"/>
      <c r="I31" s="24"/>
      <c r="J31" s="5"/>
      <c r="K31" s="24"/>
      <c r="L31" s="5"/>
      <c r="M31" s="27"/>
      <c r="N31" s="5"/>
      <c r="P31" s="6" t="str">
        <f t="shared" si="4"/>
        <v>N</v>
      </c>
      <c r="Q31" s="6" t="s">
        <v>94</v>
      </c>
      <c r="R31" t="str">
        <f t="shared" ref="R31:V31" si="30">IF(EXACT(S31,I31)=TRUE,"Y","N")</f>
        <v>N</v>
      </c>
      <c r="S31" t="s">
        <v>3166</v>
      </c>
      <c r="T31" t="str">
        <f t="shared" si="30"/>
        <v>N</v>
      </c>
      <c r="U31" s="6" t="s">
        <v>3167</v>
      </c>
      <c r="V31" s="6" t="str">
        <f t="shared" si="30"/>
        <v>N</v>
      </c>
      <c r="W31" s="6" t="s">
        <v>3168</v>
      </c>
    </row>
    <row r="32" spans="1:23" x14ac:dyDescent="0.4">
      <c r="A32" s="7"/>
      <c r="B32" s="7"/>
      <c r="C32" s="7"/>
      <c r="D32" s="7"/>
      <c r="E32" s="7"/>
      <c r="F32" s="7"/>
      <c r="G32" s="24"/>
      <c r="H32" s="5"/>
      <c r="I32" s="24"/>
      <c r="J32" s="5"/>
      <c r="K32" s="24"/>
      <c r="L32" s="5"/>
      <c r="M32" s="27"/>
      <c r="N32" s="5"/>
      <c r="P32" s="6" t="str">
        <f t="shared" si="4"/>
        <v>N</v>
      </c>
      <c r="Q32" s="6" t="s">
        <v>3169</v>
      </c>
      <c r="R32" t="str">
        <f t="shared" ref="R32:V32" si="31">IF(EXACT(S32,I32)=TRUE,"Y","N")</f>
        <v>N</v>
      </c>
      <c r="S32" t="s">
        <v>3170</v>
      </c>
      <c r="T32" t="str">
        <f t="shared" si="31"/>
        <v>N</v>
      </c>
      <c r="U32" s="6" t="s">
        <v>3171</v>
      </c>
      <c r="V32" s="6" t="str">
        <f t="shared" si="31"/>
        <v>N</v>
      </c>
      <c r="W32" s="6" t="s">
        <v>3172</v>
      </c>
    </row>
    <row r="33" spans="1:23" ht="14.25" x14ac:dyDescent="0.4">
      <c r="A33" s="49" t="s">
        <v>360</v>
      </c>
      <c r="B33" s="50"/>
      <c r="C33" s="50"/>
      <c r="D33" s="50"/>
      <c r="E33" s="7"/>
      <c r="F33" s="7"/>
      <c r="G33" s="24"/>
      <c r="H33" s="5"/>
      <c r="I33" s="24"/>
      <c r="J33" s="5"/>
      <c r="K33" s="24"/>
      <c r="L33" s="5"/>
      <c r="M33" s="27"/>
      <c r="N33" s="5"/>
      <c r="P33" s="6" t="str">
        <f t="shared" si="4"/>
        <v>N</v>
      </c>
      <c r="Q33" s="6" t="s">
        <v>3173</v>
      </c>
      <c r="R33" t="str">
        <f t="shared" ref="R33:V33" si="32">IF(EXACT(S33,I33)=TRUE,"Y","N")</f>
        <v>N</v>
      </c>
      <c r="S33" t="s">
        <v>3174</v>
      </c>
      <c r="T33" t="str">
        <f t="shared" si="32"/>
        <v>N</v>
      </c>
      <c r="U33" s="6" t="s">
        <v>3175</v>
      </c>
      <c r="V33" s="6" t="str">
        <f t="shared" si="32"/>
        <v>N</v>
      </c>
      <c r="W33" s="6" t="s">
        <v>3176</v>
      </c>
    </row>
    <row r="34" spans="1:23" x14ac:dyDescent="0.4">
      <c r="A34" s="7"/>
      <c r="B34" s="7"/>
      <c r="C34" s="7"/>
      <c r="D34" s="7"/>
      <c r="E34" s="7"/>
      <c r="F34" s="7"/>
      <c r="G34" s="24"/>
      <c r="H34" s="5"/>
      <c r="I34" s="24"/>
      <c r="J34" s="5"/>
      <c r="K34" s="24"/>
      <c r="L34" s="5"/>
      <c r="M34" s="27"/>
      <c r="N34" s="5"/>
      <c r="P34" s="6" t="str">
        <f t="shared" si="4"/>
        <v>N</v>
      </c>
      <c r="Q34" s="6" t="s">
        <v>3177</v>
      </c>
      <c r="R34" t="str">
        <f t="shared" ref="R34:V34" si="33">IF(EXACT(S34,I34)=TRUE,"Y","N")</f>
        <v>N</v>
      </c>
      <c r="S34" t="s">
        <v>3178</v>
      </c>
      <c r="T34" t="str">
        <f t="shared" si="33"/>
        <v>N</v>
      </c>
      <c r="U34" s="6" t="s">
        <v>3179</v>
      </c>
      <c r="V34" s="6" t="str">
        <f t="shared" si="33"/>
        <v>N</v>
      </c>
      <c r="W34" s="6" t="s">
        <v>3180</v>
      </c>
    </row>
    <row r="35" spans="1:23" x14ac:dyDescent="0.4">
      <c r="A35" s="7"/>
      <c r="B35" s="7"/>
      <c r="C35" s="7"/>
      <c r="D35" s="7"/>
      <c r="E35" s="7"/>
      <c r="F35" s="7"/>
      <c r="G35" s="24"/>
      <c r="H35" s="5"/>
      <c r="I35" s="24"/>
      <c r="J35" s="5"/>
      <c r="K35" s="24"/>
      <c r="L35" s="5"/>
      <c r="M35" s="27"/>
      <c r="N35" s="5"/>
      <c r="P35" s="6" t="str">
        <f t="shared" si="4"/>
        <v>N</v>
      </c>
      <c r="Q35" s="6" t="s">
        <v>3181</v>
      </c>
      <c r="R35" t="str">
        <f t="shared" ref="R35:V35" si="34">IF(EXACT(S35,I35)=TRUE,"Y","N")</f>
        <v>N</v>
      </c>
      <c r="S35" t="s">
        <v>3182</v>
      </c>
      <c r="T35" t="str">
        <f t="shared" si="34"/>
        <v>N</v>
      </c>
      <c r="U35" s="6" t="s">
        <v>3183</v>
      </c>
      <c r="V35" s="6" t="str">
        <f t="shared" si="34"/>
        <v>N</v>
      </c>
      <c r="W35" s="6" t="s">
        <v>3184</v>
      </c>
    </row>
    <row r="36" spans="1:23" x14ac:dyDescent="0.4">
      <c r="A36" s="7"/>
      <c r="B36" s="7"/>
      <c r="C36" s="7"/>
      <c r="D36" s="7"/>
      <c r="E36" s="7"/>
      <c r="F36" s="7"/>
      <c r="G36" s="24"/>
      <c r="H36" s="5"/>
      <c r="I36" s="24"/>
      <c r="J36" s="5"/>
      <c r="K36" s="24"/>
      <c r="L36" s="5"/>
      <c r="M36" s="27"/>
      <c r="N36" s="5"/>
      <c r="P36" s="6" t="str">
        <f t="shared" si="4"/>
        <v>N</v>
      </c>
      <c r="Q36" s="6" t="s">
        <v>607</v>
      </c>
      <c r="R36" t="str">
        <f t="shared" ref="R36:V36" si="35">IF(EXACT(S36,I36)=TRUE,"Y","N")</f>
        <v>N</v>
      </c>
      <c r="S36" t="s">
        <v>3185</v>
      </c>
      <c r="T36" t="str">
        <f t="shared" si="35"/>
        <v>N</v>
      </c>
      <c r="U36" s="6" t="s">
        <v>3186</v>
      </c>
      <c r="V36" s="6" t="str">
        <f t="shared" si="35"/>
        <v>N</v>
      </c>
      <c r="W36" s="6" t="s">
        <v>3187</v>
      </c>
    </row>
    <row r="37" spans="1:23" x14ac:dyDescent="0.4">
      <c r="A37" s="7"/>
      <c r="B37" s="7"/>
      <c r="C37" s="7"/>
      <c r="D37" s="7"/>
      <c r="E37" s="7"/>
      <c r="F37" s="7"/>
      <c r="G37" s="24"/>
      <c r="H37" s="5"/>
      <c r="I37" s="24"/>
      <c r="J37" s="5"/>
      <c r="K37" s="24"/>
      <c r="L37" s="5"/>
      <c r="M37" s="27"/>
      <c r="N37" s="5"/>
      <c r="P37" s="6" t="str">
        <f t="shared" si="4"/>
        <v>N</v>
      </c>
      <c r="Q37" s="6" t="s">
        <v>3188</v>
      </c>
      <c r="R37" t="str">
        <f t="shared" ref="R37:V37" si="36">IF(EXACT(S37,I37)=TRUE,"Y","N")</f>
        <v>N</v>
      </c>
      <c r="S37" t="s">
        <v>3189</v>
      </c>
      <c r="T37" t="str">
        <f t="shared" si="36"/>
        <v>N</v>
      </c>
      <c r="U37" s="6" t="s">
        <v>3190</v>
      </c>
      <c r="V37" s="6" t="str">
        <f t="shared" si="36"/>
        <v>N</v>
      </c>
      <c r="W37" s="6" t="s">
        <v>3191</v>
      </c>
    </row>
    <row r="38" spans="1:23" x14ac:dyDescent="0.4">
      <c r="A38" s="7"/>
      <c r="B38" s="7"/>
      <c r="C38" s="7"/>
      <c r="D38" s="7"/>
      <c r="E38" s="7"/>
      <c r="F38" s="7"/>
      <c r="G38" s="24"/>
      <c r="H38" s="5"/>
      <c r="I38" s="24"/>
      <c r="J38" s="5"/>
      <c r="K38" s="24"/>
      <c r="L38" s="5"/>
      <c r="M38" s="27"/>
      <c r="N38" s="5"/>
      <c r="P38" s="6" t="str">
        <f t="shared" si="4"/>
        <v>N</v>
      </c>
      <c r="Q38" s="6" t="s">
        <v>3192</v>
      </c>
      <c r="R38" t="str">
        <f t="shared" ref="R38:V38" si="37">IF(EXACT(S38,I38)=TRUE,"Y","N")</f>
        <v>N</v>
      </c>
      <c r="S38" t="s">
        <v>3193</v>
      </c>
      <c r="T38" t="str">
        <f t="shared" si="37"/>
        <v>N</v>
      </c>
      <c r="U38" s="6" t="s">
        <v>3194</v>
      </c>
      <c r="V38" s="6" t="str">
        <f t="shared" si="37"/>
        <v>N</v>
      </c>
      <c r="W38" s="6" t="s">
        <v>3195</v>
      </c>
    </row>
    <row r="39" spans="1:23" x14ac:dyDescent="0.4">
      <c r="A39" s="7"/>
      <c r="B39" s="7"/>
      <c r="C39" s="7"/>
      <c r="D39" s="7"/>
      <c r="E39" s="7"/>
      <c r="F39" s="7"/>
      <c r="G39" s="24"/>
      <c r="H39" s="5"/>
      <c r="I39" s="24"/>
      <c r="J39" s="5"/>
      <c r="K39" s="24"/>
      <c r="L39" s="5"/>
      <c r="M39" s="27"/>
      <c r="N39" s="5"/>
      <c r="P39" s="6" t="str">
        <f t="shared" si="4"/>
        <v>N</v>
      </c>
      <c r="Q39" s="6" t="s">
        <v>1406</v>
      </c>
      <c r="R39" t="str">
        <f t="shared" ref="R39:V39" si="38">IF(EXACT(S39,I39)=TRUE,"Y","N")</f>
        <v>N</v>
      </c>
      <c r="S39" t="s">
        <v>3196</v>
      </c>
      <c r="T39" t="str">
        <f t="shared" si="38"/>
        <v>N</v>
      </c>
      <c r="U39" s="6" t="s">
        <v>3197</v>
      </c>
      <c r="V39" s="6" t="str">
        <f t="shared" si="38"/>
        <v>N</v>
      </c>
      <c r="W39" s="6" t="s">
        <v>404</v>
      </c>
    </row>
    <row r="40" spans="1:23" x14ac:dyDescent="0.4">
      <c r="A40" s="7"/>
      <c r="B40" s="7"/>
      <c r="C40" s="7"/>
      <c r="D40" s="7"/>
      <c r="E40" s="7"/>
      <c r="F40" s="7"/>
      <c r="G40" s="24"/>
      <c r="H40" s="5"/>
      <c r="I40" s="24"/>
      <c r="J40" s="5"/>
      <c r="K40" s="24"/>
      <c r="L40" s="5"/>
      <c r="M40" s="27"/>
      <c r="N40" s="5"/>
      <c r="P40" s="6" t="str">
        <f t="shared" si="4"/>
        <v>N</v>
      </c>
      <c r="Q40" s="6" t="s">
        <v>3198</v>
      </c>
      <c r="R40" t="str">
        <f t="shared" ref="R40:V40" si="39">IF(EXACT(S40,I40)=TRUE,"Y","N")</f>
        <v>N</v>
      </c>
      <c r="S40" t="s">
        <v>3199</v>
      </c>
      <c r="T40" t="str">
        <f t="shared" si="39"/>
        <v>N</v>
      </c>
      <c r="U40" s="6" t="s">
        <v>3200</v>
      </c>
      <c r="V40" s="6" t="str">
        <f t="shared" si="39"/>
        <v>N</v>
      </c>
      <c r="W40" s="6" t="s">
        <v>3201</v>
      </c>
    </row>
    <row r="41" spans="1:23" x14ac:dyDescent="0.4">
      <c r="A41" s="7"/>
      <c r="B41" s="7"/>
      <c r="C41" s="7"/>
      <c r="D41" s="7"/>
      <c r="E41" s="7"/>
      <c r="F41" s="7"/>
      <c r="G41" s="24"/>
      <c r="H41" s="5"/>
      <c r="I41" s="24"/>
      <c r="J41" s="5"/>
      <c r="K41" s="24"/>
      <c r="L41" s="5"/>
      <c r="M41" s="27"/>
      <c r="N41" s="5"/>
      <c r="P41" s="6" t="str">
        <f t="shared" si="4"/>
        <v>N</v>
      </c>
      <c r="Q41" s="6" t="s">
        <v>3202</v>
      </c>
      <c r="R41" t="str">
        <f t="shared" ref="R41:V41" si="40">IF(EXACT(S41,I41)=TRUE,"Y","N")</f>
        <v>N</v>
      </c>
      <c r="S41" t="s">
        <v>485</v>
      </c>
      <c r="T41" t="str">
        <f t="shared" si="40"/>
        <v>N</v>
      </c>
      <c r="U41" s="6" t="s">
        <v>3203</v>
      </c>
      <c r="V41" s="6" t="str">
        <f t="shared" si="40"/>
        <v>N</v>
      </c>
      <c r="W41" s="6" t="s">
        <v>3204</v>
      </c>
    </row>
    <row r="42" spans="1:23" x14ac:dyDescent="0.4">
      <c r="A42" s="7"/>
      <c r="B42" s="7"/>
      <c r="C42" s="7"/>
      <c r="D42" s="7"/>
      <c r="E42" s="7"/>
      <c r="F42" s="7"/>
      <c r="G42" s="24"/>
      <c r="H42" s="5"/>
      <c r="I42" s="24"/>
      <c r="J42" s="5"/>
      <c r="K42" s="24"/>
      <c r="L42" s="5"/>
      <c r="M42" s="27"/>
      <c r="N42" s="5"/>
      <c r="P42" s="6" t="str">
        <f t="shared" si="4"/>
        <v>N</v>
      </c>
      <c r="Q42" s="6" t="s">
        <v>3205</v>
      </c>
      <c r="R42" t="str">
        <f t="shared" ref="R42:V42" si="41">IF(EXACT(S42,I42)=TRUE,"Y","N")</f>
        <v>N</v>
      </c>
      <c r="S42" t="s">
        <v>3206</v>
      </c>
      <c r="T42" t="str">
        <f t="shared" si="41"/>
        <v>N</v>
      </c>
      <c r="U42" s="6" t="s">
        <v>628</v>
      </c>
      <c r="V42" s="6" t="str">
        <f t="shared" si="41"/>
        <v>N</v>
      </c>
      <c r="W42" s="6" t="s">
        <v>3207</v>
      </c>
    </row>
    <row r="43" spans="1:23" x14ac:dyDescent="0.4">
      <c r="A43" s="7"/>
      <c r="B43" s="7"/>
      <c r="C43" s="7"/>
      <c r="D43" s="7"/>
      <c r="E43" s="7"/>
      <c r="F43" s="7"/>
      <c r="G43" s="24"/>
      <c r="H43" s="5"/>
      <c r="I43" s="24"/>
      <c r="J43" s="5"/>
      <c r="K43" s="24"/>
      <c r="L43" s="5"/>
      <c r="M43" s="27"/>
      <c r="N43" s="5"/>
      <c r="P43" s="6" t="str">
        <f t="shared" si="4"/>
        <v>N</v>
      </c>
      <c r="Q43" s="6" t="s">
        <v>3208</v>
      </c>
      <c r="R43" t="str">
        <f t="shared" ref="R43:V43" si="42">IF(EXACT(S43,I43)=TRUE,"Y","N")</f>
        <v>N</v>
      </c>
      <c r="S43" t="s">
        <v>3209</v>
      </c>
      <c r="T43" t="str">
        <f t="shared" si="42"/>
        <v>N</v>
      </c>
      <c r="U43" s="6" t="s">
        <v>3210</v>
      </c>
      <c r="V43" s="6" t="str">
        <f t="shared" si="42"/>
        <v>N</v>
      </c>
      <c r="W43" s="6" t="s">
        <v>480</v>
      </c>
    </row>
    <row r="44" spans="1:23" x14ac:dyDescent="0.4">
      <c r="A44" s="7"/>
      <c r="B44" s="7"/>
      <c r="C44" s="7"/>
      <c r="D44" s="7"/>
      <c r="E44" s="7"/>
      <c r="F44" s="7"/>
      <c r="G44" s="24"/>
      <c r="H44" s="5"/>
      <c r="I44" s="24"/>
      <c r="J44" s="5"/>
      <c r="K44" s="24"/>
      <c r="L44" s="5"/>
      <c r="M44" s="27"/>
      <c r="N44" s="5"/>
      <c r="P44" s="6" t="str">
        <f t="shared" si="4"/>
        <v>N</v>
      </c>
      <c r="Q44" s="6" t="s">
        <v>3211</v>
      </c>
      <c r="R44" t="str">
        <f t="shared" ref="R44:V44" si="43">IF(EXACT(S44,I44)=TRUE,"Y","N")</f>
        <v>N</v>
      </c>
      <c r="S44" t="s">
        <v>3212</v>
      </c>
      <c r="T44" t="str">
        <f t="shared" si="43"/>
        <v>N</v>
      </c>
      <c r="U44" s="6" t="s">
        <v>73</v>
      </c>
      <c r="V44" s="6" t="str">
        <f t="shared" si="43"/>
        <v>N</v>
      </c>
      <c r="W44" s="6" t="s">
        <v>3213</v>
      </c>
    </row>
    <row r="45" spans="1:23" x14ac:dyDescent="0.4">
      <c r="A45" s="7"/>
      <c r="B45" s="7"/>
      <c r="C45" s="7"/>
      <c r="D45" s="7"/>
      <c r="E45" s="7"/>
      <c r="F45" s="7"/>
      <c r="G45" s="24"/>
      <c r="H45" s="5"/>
      <c r="I45" s="24"/>
      <c r="J45" s="5"/>
      <c r="K45" s="24"/>
      <c r="L45" s="5"/>
      <c r="M45" s="27"/>
      <c r="N45" s="5"/>
      <c r="P45" s="6" t="str">
        <f t="shared" si="4"/>
        <v>N</v>
      </c>
      <c r="Q45" s="6" t="s">
        <v>3214</v>
      </c>
      <c r="R45" t="str">
        <f t="shared" ref="R45:V45" si="44">IF(EXACT(S45,I45)=TRUE,"Y","N")</f>
        <v>N</v>
      </c>
      <c r="S45" t="s">
        <v>2933</v>
      </c>
      <c r="T45" t="str">
        <f t="shared" si="44"/>
        <v>N</v>
      </c>
      <c r="U45" s="6" t="s">
        <v>3215</v>
      </c>
      <c r="V45" s="6" t="str">
        <f t="shared" si="44"/>
        <v>N</v>
      </c>
      <c r="W45" s="6" t="s">
        <v>1044</v>
      </c>
    </row>
    <row r="46" spans="1:23" x14ac:dyDescent="0.4">
      <c r="A46" s="7"/>
      <c r="B46" s="7"/>
      <c r="C46" s="7"/>
      <c r="D46" s="7"/>
      <c r="E46" s="7"/>
      <c r="F46" s="7"/>
      <c r="G46" s="24"/>
      <c r="H46" s="5"/>
      <c r="I46" s="24"/>
      <c r="J46" s="5"/>
      <c r="K46" s="24"/>
      <c r="L46" s="5"/>
      <c r="M46" s="27"/>
      <c r="N46" s="5"/>
      <c r="P46" s="6" t="str">
        <f t="shared" si="4"/>
        <v>N</v>
      </c>
      <c r="Q46" s="6" t="s">
        <v>3216</v>
      </c>
      <c r="R46" t="str">
        <f t="shared" ref="R46:V46" si="45">IF(EXACT(S46,I46)=TRUE,"Y","N")</f>
        <v>N</v>
      </c>
      <c r="S46" t="s">
        <v>3217</v>
      </c>
      <c r="T46" t="str">
        <f t="shared" si="45"/>
        <v>N</v>
      </c>
      <c r="U46" s="6" t="s">
        <v>286</v>
      </c>
      <c r="V46" s="6" t="str">
        <f t="shared" si="45"/>
        <v>N</v>
      </c>
      <c r="W46" s="6" t="s">
        <v>3218</v>
      </c>
    </row>
    <row r="47" spans="1:23" x14ac:dyDescent="0.4">
      <c r="A47" s="7"/>
      <c r="B47" s="7"/>
      <c r="C47" s="7"/>
      <c r="D47" s="7"/>
      <c r="E47" s="7"/>
      <c r="F47" s="7"/>
      <c r="G47" s="24"/>
      <c r="H47" s="5"/>
      <c r="I47" s="24"/>
      <c r="J47" s="5"/>
      <c r="K47" s="24"/>
      <c r="L47" s="5"/>
      <c r="M47" s="27"/>
      <c r="N47" s="5"/>
      <c r="P47" s="6" t="str">
        <f t="shared" si="4"/>
        <v>N</v>
      </c>
      <c r="Q47" s="6" t="s">
        <v>622</v>
      </c>
      <c r="R47" t="str">
        <f t="shared" ref="R47:V47" si="46">IF(EXACT(S47,I47)=TRUE,"Y","N")</f>
        <v>N</v>
      </c>
      <c r="S47" t="s">
        <v>2518</v>
      </c>
      <c r="T47" t="str">
        <f t="shared" si="46"/>
        <v>N</v>
      </c>
      <c r="U47" s="6" t="s">
        <v>277</v>
      </c>
      <c r="V47" s="6" t="str">
        <f t="shared" si="46"/>
        <v>N</v>
      </c>
      <c r="W47" s="6" t="s">
        <v>3219</v>
      </c>
    </row>
    <row r="48" spans="1:23" x14ac:dyDescent="0.4">
      <c r="A48" s="7"/>
      <c r="B48" s="7"/>
      <c r="C48" s="7"/>
      <c r="D48" s="7"/>
      <c r="E48" s="7"/>
      <c r="F48" s="7"/>
      <c r="G48" s="24"/>
      <c r="H48" s="5"/>
      <c r="I48" s="24"/>
      <c r="J48" s="5"/>
      <c r="K48" s="24"/>
      <c r="L48" s="5"/>
      <c r="M48" s="27"/>
      <c r="N48" s="5"/>
      <c r="P48" s="6" t="str">
        <f t="shared" si="4"/>
        <v>N</v>
      </c>
      <c r="Q48" s="6" t="s">
        <v>3220</v>
      </c>
      <c r="R48" t="str">
        <f t="shared" ref="R48:V48" si="47">IF(EXACT(S48,I48)=TRUE,"Y","N")</f>
        <v>N</v>
      </c>
      <c r="S48" t="s">
        <v>3221</v>
      </c>
      <c r="T48" t="str">
        <f t="shared" si="47"/>
        <v>N</v>
      </c>
      <c r="U48" s="6" t="s">
        <v>3222</v>
      </c>
      <c r="V48" s="6" t="str">
        <f t="shared" si="47"/>
        <v>N</v>
      </c>
      <c r="W48" s="6" t="s">
        <v>1246</v>
      </c>
    </row>
    <row r="49" spans="1:23" x14ac:dyDescent="0.4">
      <c r="A49" s="7"/>
      <c r="B49" s="7"/>
      <c r="C49" s="7"/>
      <c r="D49" s="7"/>
      <c r="E49" s="7"/>
      <c r="F49" s="7"/>
      <c r="G49" s="24"/>
      <c r="H49" s="5"/>
      <c r="I49" s="24"/>
      <c r="J49" s="5"/>
      <c r="K49" s="24"/>
      <c r="L49" s="5"/>
      <c r="M49" s="27"/>
      <c r="N49" s="5"/>
      <c r="P49" s="6" t="str">
        <f t="shared" si="4"/>
        <v>N</v>
      </c>
      <c r="Q49" s="6" t="s">
        <v>3223</v>
      </c>
      <c r="R49" t="str">
        <f t="shared" ref="R49:V49" si="48">IF(EXACT(S49,I49)=TRUE,"Y","N")</f>
        <v>N</v>
      </c>
      <c r="S49" t="s">
        <v>3224</v>
      </c>
      <c r="T49" t="str">
        <f t="shared" si="48"/>
        <v>N</v>
      </c>
      <c r="U49" s="6" t="s">
        <v>3225</v>
      </c>
      <c r="V49" s="6" t="str">
        <f t="shared" si="48"/>
        <v>N</v>
      </c>
      <c r="W49" s="6" t="s">
        <v>3226</v>
      </c>
    </row>
    <row r="50" spans="1:23" x14ac:dyDescent="0.4">
      <c r="A50" s="7"/>
      <c r="B50" s="7"/>
      <c r="C50" s="7"/>
      <c r="D50" s="7"/>
      <c r="E50" s="7"/>
      <c r="F50" s="7"/>
      <c r="G50" s="24"/>
      <c r="H50" s="5"/>
      <c r="I50" s="24"/>
      <c r="J50" s="5"/>
      <c r="K50" s="24"/>
      <c r="L50" s="5"/>
      <c r="M50" s="27"/>
      <c r="N50" s="5"/>
      <c r="P50" s="6" t="str">
        <f t="shared" si="4"/>
        <v>N</v>
      </c>
      <c r="Q50" s="6" t="s">
        <v>429</v>
      </c>
      <c r="R50" t="str">
        <f t="shared" ref="R50:V50" si="49">IF(EXACT(S50,I50)=TRUE,"Y","N")</f>
        <v>N</v>
      </c>
      <c r="S50" t="s">
        <v>3227</v>
      </c>
      <c r="T50" t="str">
        <f t="shared" si="49"/>
        <v>N</v>
      </c>
      <c r="U50" s="6" t="s">
        <v>1081</v>
      </c>
      <c r="V50" s="6" t="str">
        <f t="shared" si="49"/>
        <v>N</v>
      </c>
      <c r="W50" s="6" t="s">
        <v>3228</v>
      </c>
    </row>
    <row r="51" spans="1:23" x14ac:dyDescent="0.4">
      <c r="A51" s="7"/>
      <c r="B51" s="7"/>
      <c r="C51" s="7"/>
      <c r="D51" s="7"/>
      <c r="E51" s="7"/>
      <c r="F51" s="7"/>
      <c r="G51" s="24"/>
      <c r="H51" s="5"/>
      <c r="I51" s="24"/>
      <c r="J51" s="5"/>
      <c r="K51" s="24"/>
      <c r="L51" s="5"/>
      <c r="M51" s="27"/>
      <c r="N51" s="5"/>
      <c r="P51" s="6" t="str">
        <f t="shared" si="4"/>
        <v>N</v>
      </c>
      <c r="Q51" s="6" t="s">
        <v>3229</v>
      </c>
      <c r="R51" t="str">
        <f t="shared" ref="R51:V51" si="50">IF(EXACT(S51,I51)=TRUE,"Y","N")</f>
        <v>N</v>
      </c>
      <c r="S51" t="s">
        <v>444</v>
      </c>
      <c r="T51" t="str">
        <f t="shared" si="50"/>
        <v>N</v>
      </c>
      <c r="U51" s="6" t="s">
        <v>3230</v>
      </c>
      <c r="V51" s="6" t="str">
        <f t="shared" si="50"/>
        <v>N</v>
      </c>
      <c r="W51" s="6" t="s">
        <v>1245</v>
      </c>
    </row>
    <row r="52" spans="1:23" x14ac:dyDescent="0.4">
      <c r="A52" s="7"/>
      <c r="B52" s="7"/>
      <c r="C52" s="7"/>
      <c r="D52" s="7"/>
      <c r="E52" s="7"/>
      <c r="F52" s="7"/>
      <c r="G52" s="24"/>
      <c r="H52" s="5"/>
      <c r="I52" s="24"/>
      <c r="J52" s="5"/>
      <c r="K52" s="24"/>
      <c r="L52" s="5"/>
      <c r="M52" s="27"/>
      <c r="N52" s="5"/>
      <c r="P52" s="6" t="str">
        <f t="shared" si="4"/>
        <v>N</v>
      </c>
      <c r="Q52" s="6" t="s">
        <v>3231</v>
      </c>
      <c r="R52" t="str">
        <f t="shared" ref="R52:V52" si="51">IF(EXACT(S52,I52)=TRUE,"Y","N")</f>
        <v>N</v>
      </c>
      <c r="S52" t="s">
        <v>3232</v>
      </c>
      <c r="T52" t="str">
        <f t="shared" si="51"/>
        <v>N</v>
      </c>
      <c r="U52" s="6" t="s">
        <v>1276</v>
      </c>
      <c r="V52" s="6" t="str">
        <f t="shared" si="51"/>
        <v>N</v>
      </c>
      <c r="W52" s="6" t="s">
        <v>3233</v>
      </c>
    </row>
    <row r="53" spans="1:23" x14ac:dyDescent="0.4">
      <c r="A53" s="7"/>
      <c r="B53" s="7"/>
      <c r="C53" s="7"/>
      <c r="D53" s="7"/>
      <c r="E53" s="7"/>
      <c r="F53" s="7"/>
      <c r="G53" s="24"/>
      <c r="H53" s="5"/>
      <c r="I53" s="24"/>
      <c r="J53" s="5"/>
      <c r="K53" s="24"/>
      <c r="L53" s="5"/>
      <c r="M53" s="27"/>
      <c r="N53" s="5"/>
      <c r="P53" s="6" t="str">
        <f t="shared" si="4"/>
        <v>N</v>
      </c>
      <c r="Q53" s="6" t="s">
        <v>3234</v>
      </c>
      <c r="R53" t="str">
        <f t="shared" ref="R53:V53" si="52">IF(EXACT(S53,I53)=TRUE,"Y","N")</f>
        <v>N</v>
      </c>
      <c r="S53" t="s">
        <v>525</v>
      </c>
      <c r="T53" t="str">
        <f t="shared" si="52"/>
        <v>N</v>
      </c>
      <c r="U53" s="6" t="s">
        <v>328</v>
      </c>
      <c r="V53" s="6" t="str">
        <f t="shared" si="52"/>
        <v>N</v>
      </c>
      <c r="W53" s="6" t="s">
        <v>3235</v>
      </c>
    </row>
    <row r="54" spans="1:23" x14ac:dyDescent="0.4">
      <c r="A54" s="7"/>
      <c r="B54" s="7"/>
      <c r="C54" s="7"/>
      <c r="D54" s="7"/>
      <c r="E54" s="7"/>
      <c r="F54" s="7"/>
      <c r="G54" s="24"/>
      <c r="H54" s="5"/>
      <c r="I54" s="24"/>
      <c r="J54" s="5"/>
      <c r="K54" s="24"/>
      <c r="L54" s="5"/>
      <c r="M54" s="27"/>
      <c r="N54" s="5"/>
      <c r="P54" s="6" t="str">
        <f t="shared" si="4"/>
        <v>N</v>
      </c>
      <c r="Q54" s="6" t="s">
        <v>3236</v>
      </c>
      <c r="R54" t="str">
        <f t="shared" ref="R54:V54" si="53">IF(EXACT(S54,I54)=TRUE,"Y","N")</f>
        <v>N</v>
      </c>
      <c r="S54" t="s">
        <v>3237</v>
      </c>
      <c r="T54" t="str">
        <f t="shared" si="53"/>
        <v>N</v>
      </c>
      <c r="U54" s="6" t="s">
        <v>3238</v>
      </c>
      <c r="V54" s="6" t="str">
        <f t="shared" si="53"/>
        <v>N</v>
      </c>
      <c r="W54" s="6" t="s">
        <v>559</v>
      </c>
    </row>
    <row r="55" spans="1:23" x14ac:dyDescent="0.4">
      <c r="A55" s="7"/>
      <c r="B55" s="7"/>
      <c r="C55" s="7"/>
      <c r="D55" s="7"/>
      <c r="E55" s="7"/>
      <c r="F55" s="7"/>
      <c r="G55" s="24"/>
      <c r="H55" s="5"/>
      <c r="I55" s="24"/>
      <c r="J55" s="5"/>
      <c r="K55" s="24"/>
      <c r="L55" s="5"/>
      <c r="M55" s="27"/>
      <c r="N55" s="5"/>
      <c r="P55" s="6" t="str">
        <f t="shared" si="4"/>
        <v>N</v>
      </c>
      <c r="Q55" s="6" t="s">
        <v>740</v>
      </c>
      <c r="R55" t="str">
        <f t="shared" ref="R55:V55" si="54">IF(EXACT(S55,I55)=TRUE,"Y","N")</f>
        <v>N</v>
      </c>
      <c r="S55" t="s">
        <v>3239</v>
      </c>
      <c r="T55" t="str">
        <f t="shared" si="54"/>
        <v>N</v>
      </c>
      <c r="U55" s="6" t="s">
        <v>3240</v>
      </c>
      <c r="V55" s="6" t="str">
        <f t="shared" si="54"/>
        <v>N</v>
      </c>
      <c r="W55" s="6" t="s">
        <v>3241</v>
      </c>
    </row>
    <row r="56" spans="1:23" x14ac:dyDescent="0.4">
      <c r="A56" s="7"/>
      <c r="B56" s="7"/>
      <c r="C56" s="7"/>
      <c r="D56" s="7"/>
      <c r="E56" s="7"/>
      <c r="F56" s="7"/>
      <c r="G56" s="24"/>
      <c r="H56" s="5"/>
      <c r="I56" s="24"/>
      <c r="J56" s="5"/>
      <c r="K56" s="24"/>
      <c r="L56" s="5"/>
      <c r="M56" s="27"/>
      <c r="N56" s="5"/>
      <c r="P56" s="6" t="str">
        <f t="shared" si="4"/>
        <v>N</v>
      </c>
      <c r="Q56" s="6" t="s">
        <v>625</v>
      </c>
      <c r="R56" t="str">
        <f t="shared" ref="R56:V56" si="55">IF(EXACT(S56,I56)=TRUE,"Y","N")</f>
        <v>N</v>
      </c>
      <c r="S56" t="s">
        <v>3242</v>
      </c>
      <c r="T56" t="str">
        <f t="shared" si="55"/>
        <v>N</v>
      </c>
      <c r="U56" s="6" t="s">
        <v>3243</v>
      </c>
      <c r="V56" s="6" t="str">
        <f t="shared" si="55"/>
        <v>N</v>
      </c>
      <c r="W56" s="6" t="s">
        <v>3141</v>
      </c>
    </row>
    <row r="57" spans="1:23" x14ac:dyDescent="0.4">
      <c r="A57" s="7"/>
      <c r="B57" s="7"/>
      <c r="C57" s="7"/>
      <c r="D57" s="7"/>
      <c r="E57" s="7"/>
      <c r="F57" s="7"/>
      <c r="G57" s="24"/>
      <c r="H57" s="5"/>
      <c r="I57" s="24"/>
      <c r="J57" s="5"/>
      <c r="K57" s="24"/>
      <c r="L57" s="5"/>
      <c r="M57" s="27"/>
      <c r="N57" s="5"/>
      <c r="P57" s="6" t="str">
        <f t="shared" si="4"/>
        <v>N</v>
      </c>
      <c r="Q57" s="6" t="s">
        <v>1145</v>
      </c>
      <c r="R57" t="str">
        <f t="shared" ref="R57:V57" si="56">IF(EXACT(S57,I57)=TRUE,"Y","N")</f>
        <v>N</v>
      </c>
      <c r="S57" t="s">
        <v>3244</v>
      </c>
      <c r="T57" t="str">
        <f t="shared" si="56"/>
        <v>N</v>
      </c>
      <c r="U57" s="6" t="s">
        <v>100</v>
      </c>
      <c r="V57" s="6" t="str">
        <f t="shared" si="56"/>
        <v>N</v>
      </c>
      <c r="W57" s="6" t="s">
        <v>338</v>
      </c>
    </row>
    <row r="58" spans="1:23" x14ac:dyDescent="0.4">
      <c r="A58" s="7"/>
      <c r="B58" s="7"/>
      <c r="C58" s="7"/>
      <c r="D58" s="7"/>
      <c r="E58" s="7"/>
      <c r="F58" s="7"/>
      <c r="G58" s="24"/>
      <c r="H58" s="5"/>
      <c r="I58" s="24"/>
      <c r="J58" s="5"/>
      <c r="K58" s="24"/>
      <c r="L58" s="5"/>
      <c r="M58" s="27"/>
      <c r="N58" s="5"/>
      <c r="P58" s="6" t="str">
        <f t="shared" si="4"/>
        <v>N</v>
      </c>
      <c r="Q58" s="6" t="s">
        <v>535</v>
      </c>
      <c r="R58" t="str">
        <f t="shared" ref="R58:V58" si="57">IF(EXACT(S58,I58)=TRUE,"Y","N")</f>
        <v>N</v>
      </c>
      <c r="S58" t="s">
        <v>1463</v>
      </c>
      <c r="T58" t="str">
        <f t="shared" si="57"/>
        <v>N</v>
      </c>
      <c r="U58" s="6" t="s">
        <v>153</v>
      </c>
      <c r="V58" s="6" t="str">
        <f t="shared" si="57"/>
        <v>N</v>
      </c>
      <c r="W58" s="6" t="s">
        <v>900</v>
      </c>
    </row>
    <row r="59" spans="1:23" x14ac:dyDescent="0.4">
      <c r="A59" s="7"/>
      <c r="B59" s="7"/>
      <c r="C59" s="7"/>
      <c r="D59" s="7"/>
      <c r="E59" s="7"/>
      <c r="F59" s="7"/>
      <c r="G59" s="24"/>
      <c r="H59" s="5"/>
      <c r="I59" s="24"/>
      <c r="J59" s="5"/>
      <c r="K59" s="24"/>
      <c r="L59" s="5"/>
      <c r="M59" s="27"/>
      <c r="N59" s="5"/>
      <c r="P59" s="6" t="str">
        <f t="shared" si="4"/>
        <v>N</v>
      </c>
      <c r="Q59" s="6" t="s">
        <v>142</v>
      </c>
      <c r="R59" t="str">
        <f t="shared" ref="R59:V59" si="58">IF(EXACT(S59,I59)=TRUE,"Y","N")</f>
        <v>N</v>
      </c>
      <c r="S59" t="s">
        <v>627</v>
      </c>
      <c r="T59" t="str">
        <f t="shared" si="58"/>
        <v>N</v>
      </c>
      <c r="U59" s="6" t="s">
        <v>889</v>
      </c>
      <c r="V59" s="6" t="str">
        <f t="shared" si="58"/>
        <v>N</v>
      </c>
      <c r="W59" s="6" t="s">
        <v>3245</v>
      </c>
    </row>
    <row r="60" spans="1:23" x14ac:dyDescent="0.4">
      <c r="A60" s="7"/>
      <c r="B60" s="7"/>
      <c r="C60" s="7"/>
      <c r="D60" s="7"/>
      <c r="E60" s="7"/>
      <c r="F60" s="7"/>
      <c r="G60" s="24"/>
      <c r="H60" s="5"/>
      <c r="I60" s="24"/>
      <c r="J60" s="5"/>
      <c r="K60" s="24"/>
      <c r="L60" s="5"/>
      <c r="M60" s="27"/>
      <c r="N60" s="5"/>
      <c r="P60" s="6" t="str">
        <f t="shared" si="4"/>
        <v>N</v>
      </c>
      <c r="Q60" s="6" t="s">
        <v>1030</v>
      </c>
      <c r="R60" t="str">
        <f t="shared" ref="R60:V60" si="59">IF(EXACT(S60,I60)=TRUE,"Y","N")</f>
        <v>N</v>
      </c>
      <c r="S60" t="s">
        <v>451</v>
      </c>
      <c r="T60" t="str">
        <f t="shared" si="59"/>
        <v>N</v>
      </c>
      <c r="U60" s="6" t="s">
        <v>3246</v>
      </c>
      <c r="V60" s="6" t="str">
        <f t="shared" si="59"/>
        <v>N</v>
      </c>
      <c r="W60" s="6" t="s">
        <v>3247</v>
      </c>
    </row>
    <row r="61" spans="1:23" x14ac:dyDescent="0.4">
      <c r="A61" s="7"/>
      <c r="B61" s="7"/>
      <c r="C61" s="7"/>
      <c r="D61" s="7"/>
      <c r="E61" s="7"/>
      <c r="F61" s="7"/>
      <c r="G61" s="24"/>
      <c r="H61" s="5"/>
      <c r="I61" s="24"/>
      <c r="J61" s="5"/>
      <c r="K61" s="24"/>
      <c r="L61" s="5"/>
      <c r="M61" s="27"/>
      <c r="N61" s="5"/>
      <c r="P61" s="6" t="str">
        <f t="shared" si="4"/>
        <v>N</v>
      </c>
      <c r="Q61" s="6" t="s">
        <v>891</v>
      </c>
      <c r="R61" t="str">
        <f t="shared" ref="R61:V61" si="60">IF(EXACT(S61,I61)=TRUE,"Y","N")</f>
        <v>N</v>
      </c>
      <c r="S61" t="s">
        <v>3248</v>
      </c>
      <c r="T61" t="str">
        <f t="shared" si="60"/>
        <v>N</v>
      </c>
      <c r="U61" s="6" t="s">
        <v>291</v>
      </c>
      <c r="V61" s="6" t="str">
        <f t="shared" si="60"/>
        <v>N</v>
      </c>
      <c r="W61" s="6" t="s">
        <v>3249</v>
      </c>
    </row>
    <row r="62" spans="1:23" x14ac:dyDescent="0.4">
      <c r="A62" s="7"/>
      <c r="B62" s="7"/>
      <c r="C62" s="7"/>
      <c r="D62" s="7"/>
      <c r="E62" s="7"/>
      <c r="F62" s="7"/>
      <c r="G62" s="24"/>
      <c r="H62" s="5"/>
      <c r="I62" s="24"/>
      <c r="J62" s="5"/>
      <c r="K62" s="24"/>
      <c r="L62" s="5"/>
      <c r="M62" s="27"/>
      <c r="N62" s="5"/>
      <c r="P62" s="6" t="str">
        <f t="shared" si="4"/>
        <v>N</v>
      </c>
      <c r="Q62" s="6" t="s">
        <v>2332</v>
      </c>
      <c r="R62" t="str">
        <f t="shared" ref="R62:V62" si="61">IF(EXACT(S62,I62)=TRUE,"Y","N")</f>
        <v>N</v>
      </c>
      <c r="S62" t="s">
        <v>3250</v>
      </c>
      <c r="T62" t="str">
        <f t="shared" si="61"/>
        <v>N</v>
      </c>
      <c r="U62" s="6" t="s">
        <v>582</v>
      </c>
      <c r="V62" s="6" t="str">
        <f t="shared" si="61"/>
        <v>N</v>
      </c>
      <c r="W62" s="6" t="s">
        <v>225</v>
      </c>
    </row>
    <row r="63" spans="1:23" x14ac:dyDescent="0.4">
      <c r="A63" s="7"/>
      <c r="B63" s="7"/>
      <c r="C63" s="7"/>
      <c r="D63" s="7"/>
      <c r="E63" s="7"/>
      <c r="F63" s="7"/>
      <c r="G63" s="24"/>
      <c r="H63" s="5"/>
      <c r="I63" s="24"/>
      <c r="J63" s="5"/>
      <c r="K63" s="24"/>
      <c r="L63" s="5"/>
      <c r="M63" s="27"/>
      <c r="N63" s="5"/>
      <c r="P63" s="6" t="str">
        <f t="shared" si="4"/>
        <v>N</v>
      </c>
      <c r="Q63" s="6" t="s">
        <v>3251</v>
      </c>
      <c r="R63" t="str">
        <f t="shared" ref="R63:V63" si="62">IF(EXACT(S63,I63)=TRUE,"Y","N")</f>
        <v>N</v>
      </c>
      <c r="S63" t="s">
        <v>3252</v>
      </c>
      <c r="T63" t="str">
        <f t="shared" si="62"/>
        <v>N</v>
      </c>
      <c r="U63" s="6" t="s">
        <v>3253</v>
      </c>
      <c r="V63" s="6" t="str">
        <f t="shared" si="62"/>
        <v>N</v>
      </c>
      <c r="W63" s="6" t="s">
        <v>3254</v>
      </c>
    </row>
    <row r="64" spans="1:23" x14ac:dyDescent="0.4">
      <c r="A64" s="7"/>
      <c r="B64" s="7"/>
      <c r="C64" s="7"/>
      <c r="D64" s="7"/>
      <c r="E64" s="7"/>
      <c r="F64" s="7"/>
      <c r="G64" s="24"/>
      <c r="H64" s="5"/>
      <c r="I64" s="24"/>
      <c r="J64" s="5"/>
      <c r="K64" s="24"/>
      <c r="L64" s="5"/>
      <c r="M64" s="27"/>
      <c r="N64" s="5"/>
      <c r="P64" s="6" t="str">
        <f t="shared" si="4"/>
        <v>N</v>
      </c>
      <c r="Q64" s="6" t="s">
        <v>3255</v>
      </c>
      <c r="R64" t="str">
        <f t="shared" ref="R64:V64" si="63">IF(EXACT(S64,I64)=TRUE,"Y","N")</f>
        <v>N</v>
      </c>
      <c r="S64" t="s">
        <v>3256</v>
      </c>
      <c r="T64" t="str">
        <f t="shared" si="63"/>
        <v>N</v>
      </c>
      <c r="U64" s="6" t="s">
        <v>3257</v>
      </c>
      <c r="V64" s="6" t="str">
        <f t="shared" si="63"/>
        <v>N</v>
      </c>
      <c r="W64" s="6" t="s">
        <v>3258</v>
      </c>
    </row>
    <row r="65" spans="1:23" x14ac:dyDescent="0.4">
      <c r="A65" s="7"/>
      <c r="B65" s="7"/>
      <c r="C65" s="7"/>
      <c r="D65" s="7"/>
      <c r="E65" s="7"/>
      <c r="F65" s="7"/>
      <c r="G65" s="24"/>
      <c r="H65" s="5"/>
      <c r="I65" s="24"/>
      <c r="J65" s="5"/>
      <c r="K65" s="24"/>
      <c r="L65" s="5"/>
      <c r="M65" s="27"/>
      <c r="N65" s="5"/>
      <c r="P65" s="6" t="str">
        <f t="shared" si="4"/>
        <v>N</v>
      </c>
      <c r="Q65" s="6" t="s">
        <v>3259</v>
      </c>
      <c r="R65" t="str">
        <f t="shared" ref="R65:V65" si="64">IF(EXACT(S65,I65)=TRUE,"Y","N")</f>
        <v>N</v>
      </c>
      <c r="S65" t="s">
        <v>3260</v>
      </c>
      <c r="T65" t="str">
        <f t="shared" si="64"/>
        <v>N</v>
      </c>
      <c r="U65" s="6" t="s">
        <v>3261</v>
      </c>
      <c r="V65" s="6" t="str">
        <f t="shared" si="64"/>
        <v>N</v>
      </c>
      <c r="W65" s="6" t="s">
        <v>3262</v>
      </c>
    </row>
    <row r="66" spans="1:23" x14ac:dyDescent="0.4">
      <c r="A66" s="7"/>
      <c r="B66" s="7"/>
      <c r="C66" s="7"/>
      <c r="D66" s="7"/>
      <c r="E66" s="7"/>
      <c r="F66" s="7"/>
      <c r="G66" s="24"/>
      <c r="H66" s="5"/>
      <c r="I66" s="24"/>
      <c r="J66" s="5"/>
      <c r="K66" s="24"/>
      <c r="L66" s="5"/>
      <c r="M66" s="27"/>
      <c r="N66" s="5"/>
      <c r="P66" s="6" t="str">
        <f t="shared" si="4"/>
        <v>N</v>
      </c>
      <c r="Q66" s="6" t="s">
        <v>3263</v>
      </c>
      <c r="R66" t="str">
        <f t="shared" ref="R66:V66" si="65">IF(EXACT(S66,I66)=TRUE,"Y","N")</f>
        <v>N</v>
      </c>
      <c r="S66" t="s">
        <v>3264</v>
      </c>
      <c r="T66" t="str">
        <f t="shared" si="65"/>
        <v>N</v>
      </c>
      <c r="U66" s="6" t="s">
        <v>314</v>
      </c>
      <c r="V66" s="6" t="str">
        <f t="shared" si="65"/>
        <v>N</v>
      </c>
      <c r="W66" s="6" t="s">
        <v>3265</v>
      </c>
    </row>
    <row r="67" spans="1:23" x14ac:dyDescent="0.4">
      <c r="A67" s="7"/>
      <c r="B67" s="7"/>
      <c r="C67" s="7"/>
      <c r="D67" s="7"/>
      <c r="E67" s="7"/>
      <c r="F67" s="7"/>
      <c r="G67" s="24"/>
      <c r="H67" s="5"/>
      <c r="I67" s="24"/>
      <c r="J67" s="5"/>
      <c r="K67" s="24"/>
      <c r="L67" s="5"/>
      <c r="M67" s="27"/>
      <c r="N67" s="5"/>
      <c r="P67" s="6" t="str">
        <f t="shared" si="4"/>
        <v>N</v>
      </c>
      <c r="Q67" s="6" t="s">
        <v>3266</v>
      </c>
      <c r="R67" t="str">
        <f t="shared" ref="R67:V67" si="66">IF(EXACT(S67,I67)=TRUE,"Y","N")</f>
        <v>N</v>
      </c>
      <c r="S67" t="s">
        <v>3267</v>
      </c>
      <c r="T67" t="str">
        <f t="shared" si="66"/>
        <v>N</v>
      </c>
      <c r="U67" s="6" t="s">
        <v>3268</v>
      </c>
      <c r="V67" s="6" t="str">
        <f t="shared" si="66"/>
        <v>N</v>
      </c>
      <c r="W67" s="6" t="s">
        <v>3269</v>
      </c>
    </row>
    <row r="68" spans="1:23" x14ac:dyDescent="0.4">
      <c r="A68" s="7"/>
      <c r="B68" s="7"/>
      <c r="C68" s="7"/>
      <c r="D68" s="7"/>
      <c r="E68" s="7"/>
      <c r="F68" s="7"/>
      <c r="G68" s="24"/>
      <c r="H68" s="5"/>
      <c r="I68" s="24"/>
      <c r="J68" s="5"/>
      <c r="K68" s="24"/>
      <c r="L68" s="5"/>
      <c r="M68" s="27"/>
      <c r="N68" s="5"/>
      <c r="P68" s="6" t="str">
        <f t="shared" si="4"/>
        <v>N</v>
      </c>
      <c r="Q68" s="6" t="s">
        <v>3270</v>
      </c>
      <c r="R68" t="str">
        <f t="shared" ref="R68:V68" si="67">IF(EXACT(S68,I68)=TRUE,"Y","N")</f>
        <v>N</v>
      </c>
      <c r="S68" t="s">
        <v>277</v>
      </c>
      <c r="T68" t="str">
        <f t="shared" si="67"/>
        <v>N</v>
      </c>
      <c r="U68" s="6" t="s">
        <v>1316</v>
      </c>
      <c r="V68" s="6" t="str">
        <f t="shared" si="67"/>
        <v>N</v>
      </c>
      <c r="W68" s="6" t="s">
        <v>883</v>
      </c>
    </row>
    <row r="69" spans="1:23" x14ac:dyDescent="0.4">
      <c r="A69" s="7"/>
      <c r="B69" s="7"/>
      <c r="C69" s="7"/>
      <c r="D69" s="7"/>
      <c r="E69" s="7"/>
      <c r="F69" s="7"/>
      <c r="G69" s="24"/>
      <c r="H69" s="5"/>
      <c r="I69" s="24"/>
      <c r="J69" s="5"/>
      <c r="K69" s="24"/>
      <c r="L69" s="5"/>
      <c r="M69" s="27"/>
      <c r="N69" s="5"/>
      <c r="P69" s="6" t="str">
        <f t="shared" si="4"/>
        <v>N</v>
      </c>
      <c r="Q69" s="6" t="s">
        <v>677</v>
      </c>
      <c r="R69" t="str">
        <f t="shared" ref="R69:V69" si="68">IF(EXACT(S69,I69)=TRUE,"Y","N")</f>
        <v>N</v>
      </c>
      <c r="S69" t="s">
        <v>3271</v>
      </c>
      <c r="T69" t="str">
        <f t="shared" si="68"/>
        <v>N</v>
      </c>
      <c r="U69" s="6" t="s">
        <v>3272</v>
      </c>
      <c r="V69" s="6" t="str">
        <f t="shared" si="68"/>
        <v>N</v>
      </c>
      <c r="W69" s="6" t="s">
        <v>3012</v>
      </c>
    </row>
    <row r="70" spans="1:23" x14ac:dyDescent="0.4">
      <c r="A70" s="7"/>
      <c r="B70" s="7"/>
      <c r="C70" s="7"/>
      <c r="D70" s="7"/>
      <c r="E70" s="7"/>
      <c r="F70" s="7"/>
      <c r="G70" s="24"/>
      <c r="H70" s="5"/>
      <c r="I70" s="24"/>
      <c r="J70" s="5"/>
      <c r="K70" s="24"/>
      <c r="L70" s="5"/>
      <c r="M70" s="27"/>
      <c r="N70" s="5"/>
      <c r="P70" s="6" t="str">
        <f t="shared" ref="P70:P114" si="69">IF(EXACT(Q70,W70)=TRUE,"Y","N")</f>
        <v>N</v>
      </c>
      <c r="Q70" s="6" t="s">
        <v>3189</v>
      </c>
      <c r="R70" t="str">
        <f t="shared" ref="R70:V70" si="70">IF(EXACT(S70,I70)=TRUE,"Y","N")</f>
        <v>N</v>
      </c>
      <c r="S70" t="s">
        <v>3273</v>
      </c>
      <c r="T70" t="str">
        <f t="shared" si="70"/>
        <v>N</v>
      </c>
      <c r="U70" s="6" t="s">
        <v>3274</v>
      </c>
      <c r="V70" s="6" t="str">
        <f t="shared" si="70"/>
        <v>N</v>
      </c>
      <c r="W70" s="6" t="s">
        <v>3275</v>
      </c>
    </row>
    <row r="71" spans="1:23" x14ac:dyDescent="0.4">
      <c r="A71" s="7"/>
      <c r="B71" s="7"/>
      <c r="C71" s="7"/>
      <c r="D71" s="7"/>
      <c r="E71" s="7"/>
      <c r="F71" s="7"/>
      <c r="G71" s="24"/>
      <c r="H71" s="5"/>
      <c r="I71" s="24"/>
      <c r="J71" s="5"/>
      <c r="K71" s="24"/>
      <c r="L71" s="5"/>
      <c r="M71" s="27"/>
      <c r="N71" s="5"/>
      <c r="P71" s="6" t="str">
        <f t="shared" si="69"/>
        <v>N</v>
      </c>
      <c r="Q71" s="6" t="s">
        <v>168</v>
      </c>
      <c r="R71" t="str">
        <f t="shared" ref="R71:V71" si="71">IF(EXACT(S71,I71)=TRUE,"Y","N")</f>
        <v>N</v>
      </c>
      <c r="S71" t="s">
        <v>3276</v>
      </c>
      <c r="T71" t="str">
        <f t="shared" si="71"/>
        <v>N</v>
      </c>
      <c r="U71" s="6" t="s">
        <v>3065</v>
      </c>
      <c r="V71" s="6" t="str">
        <f t="shared" si="71"/>
        <v>N</v>
      </c>
      <c r="W71" s="6" t="s">
        <v>3277</v>
      </c>
    </row>
    <row r="72" spans="1:23" x14ac:dyDescent="0.4">
      <c r="A72" s="7"/>
      <c r="B72" s="7"/>
      <c r="C72" s="7"/>
      <c r="D72" s="7"/>
      <c r="E72" s="7"/>
      <c r="F72" s="7"/>
      <c r="G72" s="24"/>
      <c r="H72" s="5"/>
      <c r="I72" s="24"/>
      <c r="J72" s="5"/>
      <c r="K72" s="24"/>
      <c r="L72" s="5"/>
      <c r="M72" s="27"/>
      <c r="N72" s="5"/>
      <c r="P72" s="6" t="str">
        <f t="shared" si="69"/>
        <v>N</v>
      </c>
      <c r="Q72" s="6" t="s">
        <v>3278</v>
      </c>
      <c r="R72" t="str">
        <f t="shared" ref="R72:V72" si="72">IF(EXACT(S72,I72)=TRUE,"Y","N")</f>
        <v>N</v>
      </c>
      <c r="S72" t="s">
        <v>3279</v>
      </c>
      <c r="T72" t="str">
        <f t="shared" si="72"/>
        <v>N</v>
      </c>
      <c r="U72" s="6" t="s">
        <v>429</v>
      </c>
      <c r="V72" s="6" t="str">
        <f t="shared" si="72"/>
        <v>N</v>
      </c>
      <c r="W72" s="6" t="s">
        <v>3280</v>
      </c>
    </row>
    <row r="73" spans="1:23" x14ac:dyDescent="0.4">
      <c r="A73" s="7"/>
      <c r="B73" s="7"/>
      <c r="C73" s="7"/>
      <c r="D73" s="7"/>
      <c r="E73" s="7"/>
      <c r="F73" s="7"/>
      <c r="G73" s="24"/>
      <c r="H73" s="5"/>
      <c r="I73" s="24"/>
      <c r="J73" s="5"/>
      <c r="K73" s="24"/>
      <c r="L73" s="5"/>
      <c r="M73" s="27"/>
      <c r="N73" s="5"/>
      <c r="P73" s="6" t="str">
        <f t="shared" si="69"/>
        <v>N</v>
      </c>
      <c r="Q73" s="6" t="s">
        <v>3281</v>
      </c>
      <c r="R73" t="str">
        <f t="shared" ref="R73:V73" si="73">IF(EXACT(S73,I73)=TRUE,"Y","N")</f>
        <v>N</v>
      </c>
      <c r="S73" t="s">
        <v>3282</v>
      </c>
      <c r="T73" t="str">
        <f t="shared" si="73"/>
        <v>N</v>
      </c>
      <c r="U73" s="6" t="s">
        <v>3010</v>
      </c>
      <c r="V73" s="6" t="str">
        <f t="shared" si="73"/>
        <v>N</v>
      </c>
      <c r="W73" s="6" t="s">
        <v>3283</v>
      </c>
    </row>
    <row r="74" spans="1:23" x14ac:dyDescent="0.4">
      <c r="A74" s="7"/>
      <c r="B74" s="7"/>
      <c r="C74" s="7"/>
      <c r="D74" s="7"/>
      <c r="E74" s="7"/>
      <c r="F74" s="7"/>
      <c r="G74" s="24"/>
      <c r="H74" s="5"/>
      <c r="I74" s="24"/>
      <c r="J74" s="5"/>
      <c r="K74" s="24"/>
      <c r="L74" s="5"/>
      <c r="M74" s="27"/>
      <c r="N74" s="5"/>
      <c r="P74" s="6" t="str">
        <f t="shared" si="69"/>
        <v>N</v>
      </c>
      <c r="Q74" s="6" t="s">
        <v>3284</v>
      </c>
      <c r="R74" t="str">
        <f t="shared" ref="R74:V74" si="74">IF(EXACT(S74,I74)=TRUE,"Y","N")</f>
        <v>N</v>
      </c>
      <c r="S74" t="s">
        <v>3285</v>
      </c>
      <c r="T74" t="str">
        <f t="shared" si="74"/>
        <v>N</v>
      </c>
      <c r="U74" s="6" t="s">
        <v>3286</v>
      </c>
      <c r="V74" s="6" t="str">
        <f t="shared" si="74"/>
        <v>N</v>
      </c>
      <c r="W74" s="6" t="s">
        <v>3287</v>
      </c>
    </row>
    <row r="75" spans="1:23" x14ac:dyDescent="0.4">
      <c r="A75" s="7"/>
      <c r="B75" s="7"/>
      <c r="C75" s="7"/>
      <c r="D75" s="7"/>
      <c r="E75" s="7"/>
      <c r="F75" s="7"/>
      <c r="G75" s="24"/>
      <c r="H75" s="5"/>
      <c r="I75" s="24"/>
      <c r="J75" s="5"/>
      <c r="K75" s="24"/>
      <c r="L75" s="5"/>
      <c r="M75" s="27"/>
      <c r="N75" s="5"/>
      <c r="P75" s="6" t="str">
        <f t="shared" si="69"/>
        <v>N</v>
      </c>
      <c r="Q75" s="6" t="s">
        <v>3288</v>
      </c>
      <c r="R75" t="str">
        <f t="shared" ref="R75:V75" si="75">IF(EXACT(S75,I75)=TRUE,"Y","N")</f>
        <v>N</v>
      </c>
      <c r="S75" t="s">
        <v>3289</v>
      </c>
      <c r="T75" t="str">
        <f t="shared" si="75"/>
        <v>N</v>
      </c>
      <c r="U75" s="6" t="s">
        <v>3290</v>
      </c>
      <c r="V75" s="6" t="str">
        <f t="shared" si="75"/>
        <v>N</v>
      </c>
      <c r="W75" s="6" t="s">
        <v>3291</v>
      </c>
    </row>
    <row r="76" spans="1:23" x14ac:dyDescent="0.4">
      <c r="A76" s="7"/>
      <c r="B76" s="7"/>
      <c r="C76" s="7"/>
      <c r="D76" s="7"/>
      <c r="E76" s="7"/>
      <c r="F76" s="7"/>
      <c r="G76" s="24"/>
      <c r="H76" s="5"/>
      <c r="I76" s="24"/>
      <c r="J76" s="5"/>
      <c r="K76" s="24"/>
      <c r="L76" s="5"/>
      <c r="M76" s="27"/>
      <c r="N76" s="5"/>
      <c r="P76" s="6" t="str">
        <f t="shared" si="69"/>
        <v>N</v>
      </c>
      <c r="Q76" s="6" t="s">
        <v>3292</v>
      </c>
      <c r="R76" t="str">
        <f t="shared" ref="R76:V76" si="76">IF(EXACT(S76,I76)=TRUE,"Y","N")</f>
        <v>N</v>
      </c>
      <c r="S76" t="s">
        <v>3293</v>
      </c>
      <c r="T76" t="str">
        <f t="shared" si="76"/>
        <v>N</v>
      </c>
      <c r="U76" s="6" t="s">
        <v>3294</v>
      </c>
      <c r="V76" s="6" t="str">
        <f t="shared" si="76"/>
        <v>N</v>
      </c>
      <c r="W76" s="6" t="s">
        <v>3295</v>
      </c>
    </row>
    <row r="77" spans="1:23" x14ac:dyDescent="0.4">
      <c r="A77" s="7"/>
      <c r="B77" s="7"/>
      <c r="C77" s="7"/>
      <c r="D77" s="7"/>
      <c r="E77" s="7"/>
      <c r="F77" s="7"/>
      <c r="G77" s="24"/>
      <c r="H77" s="5"/>
      <c r="I77" s="24"/>
      <c r="J77" s="5"/>
      <c r="K77" s="24"/>
      <c r="L77" s="5"/>
      <c r="M77" s="27"/>
      <c r="N77" s="5"/>
      <c r="P77" s="6" t="str">
        <f t="shared" si="69"/>
        <v>N</v>
      </c>
      <c r="Q77" s="6" t="s">
        <v>3296</v>
      </c>
      <c r="R77" t="str">
        <f t="shared" ref="R77:V77" si="77">IF(EXACT(S77,I77)=TRUE,"Y","N")</f>
        <v>N</v>
      </c>
      <c r="S77" t="s">
        <v>3297</v>
      </c>
      <c r="T77" t="str">
        <f t="shared" si="77"/>
        <v>N</v>
      </c>
      <c r="U77" s="6" t="s">
        <v>3298</v>
      </c>
      <c r="V77" s="6" t="str">
        <f t="shared" si="77"/>
        <v>N</v>
      </c>
      <c r="W77" s="6" t="s">
        <v>3072</v>
      </c>
    </row>
    <row r="78" spans="1:23" x14ac:dyDescent="0.4">
      <c r="A78" s="7"/>
      <c r="B78" s="7"/>
      <c r="C78" s="7"/>
      <c r="D78" s="7"/>
      <c r="E78" s="7"/>
      <c r="F78" s="7"/>
      <c r="G78" s="24"/>
      <c r="H78" s="5"/>
      <c r="I78" s="24"/>
      <c r="J78" s="5"/>
      <c r="K78" s="24"/>
      <c r="L78" s="5"/>
      <c r="M78" s="27"/>
      <c r="N78" s="5"/>
      <c r="P78" s="6" t="str">
        <f t="shared" si="69"/>
        <v>N</v>
      </c>
      <c r="Q78" s="6" t="s">
        <v>3299</v>
      </c>
      <c r="R78" t="str">
        <f t="shared" ref="R78:V78" si="78">IF(EXACT(S78,I78)=TRUE,"Y","N")</f>
        <v>N</v>
      </c>
      <c r="S78" t="s">
        <v>3300</v>
      </c>
      <c r="T78" t="str">
        <f t="shared" si="78"/>
        <v>N</v>
      </c>
      <c r="U78" s="6" t="s">
        <v>3301</v>
      </c>
      <c r="V78" s="6" t="str">
        <f t="shared" si="78"/>
        <v>N</v>
      </c>
      <c r="W78" s="6" t="s">
        <v>3302</v>
      </c>
    </row>
    <row r="79" spans="1:23" x14ac:dyDescent="0.4">
      <c r="A79" s="7"/>
      <c r="B79" s="7"/>
      <c r="C79" s="7"/>
      <c r="D79" s="7"/>
      <c r="E79" s="7"/>
      <c r="F79" s="7"/>
      <c r="G79" s="24"/>
      <c r="H79" s="5"/>
      <c r="I79" s="24"/>
      <c r="J79" s="5"/>
      <c r="K79" s="24"/>
      <c r="L79" s="5"/>
      <c r="M79" s="27"/>
      <c r="N79" s="5"/>
      <c r="P79" s="6" t="str">
        <f t="shared" si="69"/>
        <v>N</v>
      </c>
      <c r="Q79" s="6" t="s">
        <v>1278</v>
      </c>
      <c r="R79" t="str">
        <f t="shared" ref="R79:V79" si="79">IF(EXACT(S79,I79)=TRUE,"Y","N")</f>
        <v>N</v>
      </c>
      <c r="S79" t="s">
        <v>3303</v>
      </c>
      <c r="T79" t="str">
        <f t="shared" si="79"/>
        <v>N</v>
      </c>
      <c r="U79" s="6" t="s">
        <v>3304</v>
      </c>
      <c r="V79" s="6" t="str">
        <f t="shared" si="79"/>
        <v>N</v>
      </c>
      <c r="W79" s="6" t="s">
        <v>3305</v>
      </c>
    </row>
    <row r="80" spans="1:23" x14ac:dyDescent="0.4">
      <c r="A80" s="7"/>
      <c r="B80" s="7"/>
      <c r="C80" s="7"/>
      <c r="D80" s="7"/>
      <c r="E80" s="7"/>
      <c r="F80" s="7"/>
      <c r="G80" s="24"/>
      <c r="H80" s="5"/>
      <c r="I80" s="24"/>
      <c r="J80" s="5"/>
      <c r="K80" s="24"/>
      <c r="L80" s="5"/>
      <c r="M80" s="27"/>
      <c r="N80" s="5"/>
      <c r="P80" s="6" t="str">
        <f t="shared" si="69"/>
        <v>N</v>
      </c>
      <c r="Q80" s="6" t="s">
        <v>3169</v>
      </c>
      <c r="R80" t="str">
        <f t="shared" ref="R80:V80" si="80">IF(EXACT(S80,I80)=TRUE,"Y","N")</f>
        <v>N</v>
      </c>
      <c r="S80" t="s">
        <v>3306</v>
      </c>
      <c r="T80" t="str">
        <f t="shared" si="80"/>
        <v>N</v>
      </c>
      <c r="U80" s="6" t="s">
        <v>3307</v>
      </c>
      <c r="V80" s="6" t="str">
        <f t="shared" si="80"/>
        <v>N</v>
      </c>
      <c r="W80" s="6" t="s">
        <v>3308</v>
      </c>
    </row>
    <row r="81" spans="1:23" x14ac:dyDescent="0.4">
      <c r="A81" s="7"/>
      <c r="B81" s="7"/>
      <c r="C81" s="7"/>
      <c r="D81" s="7"/>
      <c r="E81" s="7"/>
      <c r="F81" s="7"/>
      <c r="G81" s="24"/>
      <c r="H81" s="5"/>
      <c r="I81" s="24"/>
      <c r="J81" s="5"/>
      <c r="K81" s="24"/>
      <c r="L81" s="5"/>
      <c r="M81" s="27"/>
      <c r="N81" s="5"/>
      <c r="P81" s="6" t="str">
        <f t="shared" si="69"/>
        <v>N</v>
      </c>
      <c r="Q81" s="6" t="s">
        <v>3309</v>
      </c>
      <c r="R81" t="str">
        <f t="shared" ref="R81:V81" si="81">IF(EXACT(S81,I81)=TRUE,"Y","N")</f>
        <v>N</v>
      </c>
      <c r="S81" t="s">
        <v>810</v>
      </c>
      <c r="T81" t="str">
        <f t="shared" si="81"/>
        <v>N</v>
      </c>
      <c r="U81" s="6" t="s">
        <v>3310</v>
      </c>
      <c r="V81" s="6" t="str">
        <f t="shared" si="81"/>
        <v>N</v>
      </c>
      <c r="W81" s="6" t="s">
        <v>3311</v>
      </c>
    </row>
    <row r="82" spans="1:23" x14ac:dyDescent="0.4">
      <c r="A82" s="7"/>
      <c r="B82" s="7"/>
      <c r="C82" s="7"/>
      <c r="D82" s="7"/>
      <c r="E82" s="7"/>
      <c r="F82" s="7"/>
      <c r="G82" s="24"/>
      <c r="H82" s="5"/>
      <c r="I82" s="24"/>
      <c r="J82" s="5"/>
      <c r="K82" s="24"/>
      <c r="L82" s="5"/>
      <c r="M82" s="27"/>
      <c r="N82" s="5"/>
      <c r="P82" s="6" t="str">
        <f t="shared" si="69"/>
        <v>N</v>
      </c>
      <c r="Q82" s="6" t="s">
        <v>3312</v>
      </c>
      <c r="R82" t="str">
        <f t="shared" ref="R82:V82" si="82">IF(EXACT(S82,I82)=TRUE,"Y","N")</f>
        <v>N</v>
      </c>
      <c r="S82" t="s">
        <v>3313</v>
      </c>
      <c r="T82" t="str">
        <f t="shared" si="82"/>
        <v>N</v>
      </c>
      <c r="U82" s="6" t="s">
        <v>3314</v>
      </c>
      <c r="V82" s="6" t="str">
        <f t="shared" si="82"/>
        <v>N</v>
      </c>
      <c r="W82" s="6" t="s">
        <v>3071</v>
      </c>
    </row>
    <row r="83" spans="1:23" x14ac:dyDescent="0.4">
      <c r="A83" s="7"/>
      <c r="B83" s="7"/>
      <c r="C83" s="7"/>
      <c r="D83" s="7"/>
      <c r="E83" s="7"/>
      <c r="F83" s="7"/>
      <c r="G83" s="24"/>
      <c r="H83" s="5"/>
      <c r="I83" s="24"/>
      <c r="J83" s="5"/>
      <c r="K83" s="24"/>
      <c r="L83" s="5"/>
      <c r="M83" s="27"/>
      <c r="N83" s="5"/>
      <c r="P83" s="6" t="str">
        <f t="shared" si="69"/>
        <v>N</v>
      </c>
      <c r="Q83" s="6" t="s">
        <v>3315</v>
      </c>
      <c r="R83" t="str">
        <f t="shared" ref="R83:V83" si="83">IF(EXACT(S83,I83)=TRUE,"Y","N")</f>
        <v>N</v>
      </c>
      <c r="S83" t="s">
        <v>3316</v>
      </c>
      <c r="T83" t="str">
        <f t="shared" si="83"/>
        <v>N</v>
      </c>
      <c r="U83" s="6" t="s">
        <v>3317</v>
      </c>
      <c r="V83" s="6" t="str">
        <f t="shared" si="83"/>
        <v>N</v>
      </c>
      <c r="W83" s="6" t="s">
        <v>3318</v>
      </c>
    </row>
    <row r="84" spans="1:23" x14ac:dyDescent="0.4">
      <c r="A84" s="7"/>
      <c r="B84" s="7"/>
      <c r="C84" s="7"/>
      <c r="D84" s="7"/>
      <c r="E84" s="7"/>
      <c r="F84" s="7"/>
      <c r="G84" s="24"/>
      <c r="H84" s="5"/>
      <c r="I84" s="24"/>
      <c r="J84" s="5"/>
      <c r="K84" s="24"/>
      <c r="L84" s="5"/>
      <c r="M84" s="27"/>
      <c r="N84" s="5"/>
      <c r="P84" s="6" t="str">
        <f t="shared" si="69"/>
        <v>N</v>
      </c>
      <c r="Q84" s="6" t="s">
        <v>475</v>
      </c>
      <c r="R84" t="str">
        <f t="shared" ref="R84:V84" si="84">IF(EXACT(S84,I84)=TRUE,"Y","N")</f>
        <v>N</v>
      </c>
      <c r="S84" t="s">
        <v>418</v>
      </c>
      <c r="T84" t="str">
        <f t="shared" si="84"/>
        <v>N</v>
      </c>
      <c r="U84" s="6" t="s">
        <v>3319</v>
      </c>
      <c r="V84" s="6" t="str">
        <f t="shared" si="84"/>
        <v>N</v>
      </c>
      <c r="W84" s="6" t="s">
        <v>3320</v>
      </c>
    </row>
    <row r="85" spans="1:23" x14ac:dyDescent="0.4">
      <c r="A85" s="7"/>
      <c r="B85" s="7"/>
      <c r="C85" s="7"/>
      <c r="D85" s="7"/>
      <c r="E85" s="7"/>
      <c r="F85" s="7"/>
      <c r="G85" s="24"/>
      <c r="H85" s="5"/>
      <c r="I85" s="24"/>
      <c r="J85" s="5"/>
      <c r="K85" s="24"/>
      <c r="L85" s="5"/>
      <c r="M85" s="27"/>
      <c r="N85" s="5"/>
      <c r="P85" s="6" t="str">
        <f t="shared" si="69"/>
        <v>N</v>
      </c>
      <c r="Q85" s="6" t="s">
        <v>3321</v>
      </c>
      <c r="R85" t="str">
        <f t="shared" ref="R85:V85" si="85">IF(EXACT(S85,I85)=TRUE,"Y","N")</f>
        <v>N</v>
      </c>
      <c r="S85" t="s">
        <v>3322</v>
      </c>
      <c r="T85" t="str">
        <f t="shared" si="85"/>
        <v>N</v>
      </c>
      <c r="U85" s="6" t="s">
        <v>3323</v>
      </c>
      <c r="V85" s="6" t="str">
        <f t="shared" si="85"/>
        <v>N</v>
      </c>
      <c r="W85" s="6" t="s">
        <v>3324</v>
      </c>
    </row>
    <row r="86" spans="1:23" x14ac:dyDescent="0.4">
      <c r="A86" s="7"/>
      <c r="B86" s="7"/>
      <c r="C86" s="7"/>
      <c r="D86" s="7"/>
      <c r="E86" s="7"/>
      <c r="F86" s="7"/>
      <c r="G86" s="24"/>
      <c r="H86" s="5"/>
      <c r="I86" s="24"/>
      <c r="J86" s="5"/>
      <c r="K86" s="24"/>
      <c r="L86" s="5"/>
      <c r="M86" s="27"/>
      <c r="N86" s="5"/>
      <c r="P86" s="6" t="str">
        <f t="shared" si="69"/>
        <v>N</v>
      </c>
      <c r="Q86" s="6" t="s">
        <v>3325</v>
      </c>
      <c r="R86" t="str">
        <f t="shared" ref="R86:V86" si="86">IF(EXACT(S86,I86)=TRUE,"Y","N")</f>
        <v>N</v>
      </c>
      <c r="S86" t="s">
        <v>3326</v>
      </c>
      <c r="T86" t="str">
        <f t="shared" si="86"/>
        <v>N</v>
      </c>
      <c r="U86" s="6" t="s">
        <v>3327</v>
      </c>
      <c r="V86" s="6" t="str">
        <f t="shared" si="86"/>
        <v>N</v>
      </c>
      <c r="W86" s="6" t="s">
        <v>3328</v>
      </c>
    </row>
    <row r="87" spans="1:23" x14ac:dyDescent="0.4">
      <c r="A87" s="7"/>
      <c r="B87" s="7"/>
      <c r="C87" s="7"/>
      <c r="D87" s="7"/>
      <c r="E87" s="7"/>
      <c r="F87" s="7"/>
      <c r="G87" s="24"/>
      <c r="H87" s="5"/>
      <c r="I87" s="24"/>
      <c r="J87" s="5"/>
      <c r="K87" s="24"/>
      <c r="L87" s="5"/>
      <c r="M87" s="27"/>
      <c r="N87" s="5"/>
      <c r="P87" s="6" t="str">
        <f t="shared" si="69"/>
        <v>N</v>
      </c>
      <c r="Q87" s="6" t="s">
        <v>3329</v>
      </c>
      <c r="R87" t="str">
        <f t="shared" ref="R87:V87" si="87">IF(EXACT(S87,I87)=TRUE,"Y","N")</f>
        <v>N</v>
      </c>
      <c r="S87" t="s">
        <v>3330</v>
      </c>
      <c r="T87" t="str">
        <f t="shared" si="87"/>
        <v>N</v>
      </c>
      <c r="U87" s="6" t="s">
        <v>3331</v>
      </c>
      <c r="V87" s="6" t="str">
        <f t="shared" si="87"/>
        <v>N</v>
      </c>
      <c r="W87" s="6" t="s">
        <v>540</v>
      </c>
    </row>
    <row r="88" spans="1:23" x14ac:dyDescent="0.4">
      <c r="A88" s="7"/>
      <c r="B88" s="7"/>
      <c r="C88" s="7"/>
      <c r="D88" s="7"/>
      <c r="E88" s="7"/>
      <c r="F88" s="7"/>
      <c r="G88" s="24"/>
      <c r="H88" s="5"/>
      <c r="I88" s="24"/>
      <c r="J88" s="5"/>
      <c r="K88" s="24"/>
      <c r="L88" s="5"/>
      <c r="M88" s="27"/>
      <c r="N88" s="5"/>
      <c r="P88" s="6" t="str">
        <f t="shared" si="69"/>
        <v>N</v>
      </c>
      <c r="Q88" s="6" t="s">
        <v>3332</v>
      </c>
      <c r="R88" t="str">
        <f t="shared" ref="R88:V88" si="88">IF(EXACT(S88,I88)=TRUE,"Y","N")</f>
        <v>N</v>
      </c>
      <c r="S88" t="s">
        <v>3333</v>
      </c>
      <c r="T88" t="str">
        <f t="shared" si="88"/>
        <v>N</v>
      </c>
      <c r="U88" s="6" t="s">
        <v>1189</v>
      </c>
      <c r="V88" s="6" t="str">
        <f t="shared" si="88"/>
        <v>N</v>
      </c>
      <c r="W88" s="6" t="s">
        <v>278</v>
      </c>
    </row>
    <row r="89" spans="1:23" x14ac:dyDescent="0.4">
      <c r="A89" s="7"/>
      <c r="B89" s="7"/>
      <c r="C89" s="7"/>
      <c r="D89" s="7"/>
      <c r="E89" s="7"/>
      <c r="F89" s="7"/>
      <c r="G89" s="24"/>
      <c r="H89" s="5"/>
      <c r="I89" s="24"/>
      <c r="J89" s="5"/>
      <c r="K89" s="24"/>
      <c r="L89" s="5"/>
      <c r="M89" s="27"/>
      <c r="N89" s="5"/>
      <c r="P89" s="6" t="str">
        <f t="shared" si="69"/>
        <v>N</v>
      </c>
      <c r="Q89" s="6" t="s">
        <v>3334</v>
      </c>
      <c r="R89" t="str">
        <f t="shared" ref="R89:V89" si="89">IF(EXACT(S89,I89)=TRUE,"Y","N")</f>
        <v>N</v>
      </c>
      <c r="S89" t="s">
        <v>3335</v>
      </c>
      <c r="T89" t="str">
        <f t="shared" si="89"/>
        <v>N</v>
      </c>
      <c r="U89" s="6" t="s">
        <v>1928</v>
      </c>
      <c r="V89" s="6" t="str">
        <f t="shared" si="89"/>
        <v>N</v>
      </c>
      <c r="W89" s="6" t="s">
        <v>1091</v>
      </c>
    </row>
    <row r="90" spans="1:23" x14ac:dyDescent="0.4">
      <c r="A90" s="7"/>
      <c r="B90" s="7"/>
      <c r="C90" s="7"/>
      <c r="D90" s="7"/>
      <c r="E90" s="7"/>
      <c r="F90" s="7"/>
      <c r="G90" s="24"/>
      <c r="H90" s="5"/>
      <c r="I90" s="24"/>
      <c r="J90" s="5"/>
      <c r="K90" s="24"/>
      <c r="L90" s="5"/>
      <c r="M90" s="27"/>
      <c r="N90" s="5"/>
      <c r="P90" s="6" t="str">
        <f t="shared" si="69"/>
        <v>N</v>
      </c>
      <c r="Q90" s="6" t="s">
        <v>3336</v>
      </c>
      <c r="R90" t="str">
        <f t="shared" ref="R90:V90" si="90">IF(EXACT(S90,I90)=TRUE,"Y","N")</f>
        <v>N</v>
      </c>
      <c r="S90" t="s">
        <v>3337</v>
      </c>
      <c r="T90" t="str">
        <f t="shared" si="90"/>
        <v>N</v>
      </c>
      <c r="U90" s="6" t="s">
        <v>3338</v>
      </c>
      <c r="V90" s="6" t="str">
        <f t="shared" si="90"/>
        <v>N</v>
      </c>
      <c r="W90" s="6" t="s">
        <v>1150</v>
      </c>
    </row>
    <row r="91" spans="1:23" x14ac:dyDescent="0.4">
      <c r="A91" s="7"/>
      <c r="B91" s="7"/>
      <c r="C91" s="7"/>
      <c r="D91" s="7"/>
      <c r="E91" s="7"/>
      <c r="F91" s="7"/>
      <c r="G91" s="24"/>
      <c r="H91" s="5"/>
      <c r="I91" s="24"/>
      <c r="J91" s="5"/>
      <c r="K91" s="24"/>
      <c r="L91" s="5"/>
      <c r="M91" s="27"/>
      <c r="N91" s="5"/>
      <c r="P91" s="6" t="str">
        <f t="shared" si="69"/>
        <v>N</v>
      </c>
      <c r="Q91" s="6" t="s">
        <v>3339</v>
      </c>
      <c r="R91" t="str">
        <f t="shared" ref="R91:V91" si="91">IF(EXACT(S91,I91)=TRUE,"Y","N")</f>
        <v>N</v>
      </c>
      <c r="S91" t="s">
        <v>3340</v>
      </c>
      <c r="T91" t="str">
        <f t="shared" si="91"/>
        <v>N</v>
      </c>
      <c r="U91" s="6" t="s">
        <v>3341</v>
      </c>
      <c r="V91" s="6" t="str">
        <f t="shared" si="91"/>
        <v>N</v>
      </c>
      <c r="W91" s="6" t="s">
        <v>3342</v>
      </c>
    </row>
    <row r="92" spans="1:23" x14ac:dyDescent="0.4">
      <c r="A92" s="7"/>
      <c r="B92" s="7"/>
      <c r="C92" s="7"/>
      <c r="D92" s="7"/>
      <c r="E92" s="7"/>
      <c r="F92" s="7"/>
      <c r="G92" s="24"/>
      <c r="H92" s="5"/>
      <c r="I92" s="24"/>
      <c r="J92" s="5"/>
      <c r="K92" s="24"/>
      <c r="L92" s="5"/>
      <c r="M92" s="27"/>
      <c r="N92" s="5"/>
      <c r="P92" s="6" t="str">
        <f t="shared" si="69"/>
        <v>N</v>
      </c>
      <c r="Q92" s="6" t="s">
        <v>3343</v>
      </c>
      <c r="R92" t="str">
        <f t="shared" ref="R92:V92" si="92">IF(EXACT(S92,I92)=TRUE,"Y","N")</f>
        <v>N</v>
      </c>
      <c r="S92" t="s">
        <v>3344</v>
      </c>
      <c r="T92" t="str">
        <f t="shared" si="92"/>
        <v>N</v>
      </c>
      <c r="U92" s="6" t="s">
        <v>3345</v>
      </c>
      <c r="V92" s="6" t="str">
        <f t="shared" si="92"/>
        <v>N</v>
      </c>
      <c r="W92" s="6" t="s">
        <v>3346</v>
      </c>
    </row>
    <row r="93" spans="1:23" x14ac:dyDescent="0.4">
      <c r="A93" s="7"/>
      <c r="B93" s="7"/>
      <c r="C93" s="7"/>
      <c r="D93" s="7"/>
      <c r="E93" s="7"/>
      <c r="F93" s="7"/>
      <c r="G93" s="24"/>
      <c r="H93" s="5"/>
      <c r="I93" s="24"/>
      <c r="J93" s="5"/>
      <c r="K93" s="24"/>
      <c r="L93" s="5"/>
      <c r="M93" s="27"/>
      <c r="N93" s="5"/>
      <c r="P93" s="6" t="str">
        <f t="shared" si="69"/>
        <v>N</v>
      </c>
      <c r="Q93" s="6" t="s">
        <v>3347</v>
      </c>
      <c r="R93" t="str">
        <f t="shared" ref="R93:V93" si="93">IF(EXACT(S93,I93)=TRUE,"Y","N")</f>
        <v>N</v>
      </c>
      <c r="S93" t="s">
        <v>3348</v>
      </c>
      <c r="T93" t="str">
        <f t="shared" si="93"/>
        <v>N</v>
      </c>
      <c r="U93" s="6" t="s">
        <v>3349</v>
      </c>
      <c r="V93" s="6" t="str">
        <f t="shared" si="93"/>
        <v>N</v>
      </c>
      <c r="W93" s="6" t="s">
        <v>3350</v>
      </c>
    </row>
    <row r="94" spans="1:23" x14ac:dyDescent="0.4">
      <c r="A94" s="7"/>
      <c r="B94" s="7"/>
      <c r="C94" s="7"/>
      <c r="D94" s="7"/>
      <c r="E94" s="7"/>
      <c r="F94" s="7"/>
      <c r="G94" s="24"/>
      <c r="H94" s="5"/>
      <c r="I94" s="24"/>
      <c r="J94" s="5"/>
      <c r="K94" s="24"/>
      <c r="L94" s="5"/>
      <c r="M94" s="27"/>
      <c r="N94" s="5"/>
      <c r="P94" s="6" t="str">
        <f t="shared" si="69"/>
        <v>N</v>
      </c>
      <c r="Q94" s="6" t="s">
        <v>3351</v>
      </c>
      <c r="R94" t="str">
        <f t="shared" ref="R94:V94" si="94">IF(EXACT(S94,I94)=TRUE,"Y","N")</f>
        <v>N</v>
      </c>
      <c r="S94" t="s">
        <v>3352</v>
      </c>
      <c r="T94" t="str">
        <f t="shared" si="94"/>
        <v>N</v>
      </c>
      <c r="U94" s="6" t="s">
        <v>3353</v>
      </c>
      <c r="V94" s="6" t="str">
        <f t="shared" si="94"/>
        <v>N</v>
      </c>
      <c r="W94" s="6" t="s">
        <v>3354</v>
      </c>
    </row>
    <row r="95" spans="1:23" x14ac:dyDescent="0.4">
      <c r="A95" s="7"/>
      <c r="B95" s="7"/>
      <c r="C95" s="7"/>
      <c r="D95" s="7"/>
      <c r="E95" s="7"/>
      <c r="F95" s="7"/>
      <c r="G95" s="24"/>
      <c r="H95" s="5"/>
      <c r="I95" s="24"/>
      <c r="J95" s="5"/>
      <c r="K95" s="24"/>
      <c r="L95" s="5"/>
      <c r="M95" s="27"/>
      <c r="N95" s="5"/>
      <c r="P95" s="6" t="str">
        <f t="shared" si="69"/>
        <v>N</v>
      </c>
      <c r="Q95" s="6" t="s">
        <v>3355</v>
      </c>
      <c r="R95" t="str">
        <f t="shared" ref="R95:V95" si="95">IF(EXACT(S95,I95)=TRUE,"Y","N")</f>
        <v>N</v>
      </c>
      <c r="S95" t="s">
        <v>1406</v>
      </c>
      <c r="T95" t="str">
        <f t="shared" si="95"/>
        <v>N</v>
      </c>
      <c r="U95" s="6" t="s">
        <v>3356</v>
      </c>
      <c r="V95" s="6" t="str">
        <f t="shared" si="95"/>
        <v>N</v>
      </c>
      <c r="W95" s="6" t="s">
        <v>3357</v>
      </c>
    </row>
    <row r="96" spans="1:23" x14ac:dyDescent="0.4">
      <c r="A96" s="7"/>
      <c r="B96" s="7"/>
      <c r="C96" s="7"/>
      <c r="D96" s="7"/>
      <c r="E96" s="7"/>
      <c r="F96" s="7"/>
      <c r="G96" s="24"/>
      <c r="H96" s="5"/>
      <c r="I96" s="24"/>
      <c r="J96" s="5"/>
      <c r="K96" s="24"/>
      <c r="L96" s="5"/>
      <c r="M96" s="27"/>
      <c r="N96" s="5"/>
      <c r="P96" s="6" t="str">
        <f t="shared" si="69"/>
        <v>N</v>
      </c>
      <c r="Q96" s="6" t="s">
        <v>1337</v>
      </c>
      <c r="R96" t="str">
        <f t="shared" ref="R96:V96" si="96">IF(EXACT(S96,I96)=TRUE,"Y","N")</f>
        <v>N</v>
      </c>
      <c r="S96" t="s">
        <v>3358</v>
      </c>
      <c r="T96" t="str">
        <f t="shared" si="96"/>
        <v>N</v>
      </c>
      <c r="U96" s="6" t="s">
        <v>3359</v>
      </c>
      <c r="V96" s="6" t="str">
        <f t="shared" si="96"/>
        <v>N</v>
      </c>
      <c r="W96" s="6" t="s">
        <v>3360</v>
      </c>
    </row>
    <row r="97" spans="1:23" x14ac:dyDescent="0.4">
      <c r="A97" s="7"/>
      <c r="B97" s="7"/>
      <c r="C97" s="7"/>
      <c r="D97" s="7"/>
      <c r="E97" s="7"/>
      <c r="F97" s="7"/>
      <c r="G97" s="24"/>
      <c r="H97" s="5"/>
      <c r="I97" s="24"/>
      <c r="J97" s="5"/>
      <c r="K97" s="24"/>
      <c r="L97" s="5"/>
      <c r="M97" s="27"/>
      <c r="N97" s="5"/>
      <c r="P97" s="6" t="str">
        <f t="shared" si="69"/>
        <v>N</v>
      </c>
      <c r="Q97" s="6" t="s">
        <v>3361</v>
      </c>
      <c r="R97" t="str">
        <f t="shared" ref="R97:V97" si="97">IF(EXACT(S97,I97)=TRUE,"Y","N")</f>
        <v>N</v>
      </c>
      <c r="S97" t="s">
        <v>3362</v>
      </c>
      <c r="T97" t="str">
        <f t="shared" si="97"/>
        <v>N</v>
      </c>
      <c r="U97" s="6" t="s">
        <v>3363</v>
      </c>
      <c r="V97" s="6" t="str">
        <f t="shared" si="97"/>
        <v>N</v>
      </c>
      <c r="W97" s="6" t="s">
        <v>2308</v>
      </c>
    </row>
    <row r="98" spans="1:23" x14ac:dyDescent="0.4">
      <c r="A98" s="7"/>
      <c r="B98" s="7"/>
      <c r="C98" s="7"/>
      <c r="D98" s="7"/>
      <c r="E98" s="7"/>
      <c r="F98" s="7"/>
      <c r="G98" s="24"/>
      <c r="H98" s="5"/>
      <c r="I98" s="24"/>
      <c r="J98" s="5"/>
      <c r="K98" s="24"/>
      <c r="L98" s="5"/>
      <c r="M98" s="27"/>
      <c r="N98" s="5"/>
      <c r="P98" s="6" t="str">
        <f t="shared" si="69"/>
        <v>N</v>
      </c>
      <c r="Q98" s="6" t="s">
        <v>1144</v>
      </c>
      <c r="R98" t="str">
        <f t="shared" ref="R98:V98" si="98">IF(EXACT(S98,I98)=TRUE,"Y","N")</f>
        <v>N</v>
      </c>
      <c r="S98" t="s">
        <v>3364</v>
      </c>
      <c r="T98" t="str">
        <f t="shared" si="98"/>
        <v>N</v>
      </c>
      <c r="U98" s="6" t="s">
        <v>3365</v>
      </c>
      <c r="V98" s="6" t="str">
        <f t="shared" si="98"/>
        <v>N</v>
      </c>
      <c r="W98" s="6" t="s">
        <v>3366</v>
      </c>
    </row>
    <row r="99" spans="1:23" x14ac:dyDescent="0.4">
      <c r="A99" s="7"/>
      <c r="B99" s="7"/>
      <c r="C99" s="7"/>
      <c r="D99" s="7"/>
      <c r="E99" s="7"/>
      <c r="F99" s="7"/>
      <c r="G99" s="24"/>
      <c r="H99" s="5"/>
      <c r="I99" s="24"/>
      <c r="J99" s="5"/>
      <c r="K99" s="24"/>
      <c r="L99" s="5"/>
      <c r="M99" s="27"/>
      <c r="N99" s="5"/>
      <c r="P99" s="6" t="str">
        <f t="shared" si="69"/>
        <v>N</v>
      </c>
      <c r="Q99" s="6" t="s">
        <v>3367</v>
      </c>
      <c r="R99" t="str">
        <f t="shared" ref="R99:V99" si="99">IF(EXACT(S99,I99)=TRUE,"Y","N")</f>
        <v>N</v>
      </c>
      <c r="S99" t="s">
        <v>3368</v>
      </c>
      <c r="T99" t="str">
        <f t="shared" si="99"/>
        <v>N</v>
      </c>
      <c r="U99" s="6" t="s">
        <v>3369</v>
      </c>
      <c r="V99" s="6" t="str">
        <f t="shared" si="99"/>
        <v>N</v>
      </c>
      <c r="W99" s="6" t="s">
        <v>3370</v>
      </c>
    </row>
    <row r="100" spans="1:23" x14ac:dyDescent="0.4">
      <c r="A100" s="7"/>
      <c r="B100" s="7"/>
      <c r="C100" s="7"/>
      <c r="D100" s="7"/>
      <c r="E100" s="7"/>
      <c r="F100" s="7"/>
      <c r="G100" s="24"/>
      <c r="H100" s="5"/>
      <c r="I100" s="24"/>
      <c r="J100" s="5"/>
      <c r="K100" s="24"/>
      <c r="L100" s="5"/>
      <c r="M100" s="27"/>
      <c r="N100" s="5"/>
      <c r="P100" s="6" t="str">
        <f t="shared" si="69"/>
        <v>N</v>
      </c>
      <c r="Q100" s="6" t="s">
        <v>3371</v>
      </c>
      <c r="R100" t="str">
        <f t="shared" ref="R100:V100" si="100">IF(EXACT(S100,I100)=TRUE,"Y","N")</f>
        <v>N</v>
      </c>
      <c r="S100" t="s">
        <v>3372</v>
      </c>
      <c r="T100" t="str">
        <f t="shared" si="100"/>
        <v>N</v>
      </c>
      <c r="U100" s="6" t="s">
        <v>3373</v>
      </c>
      <c r="V100" s="6" t="str">
        <f t="shared" si="100"/>
        <v>N</v>
      </c>
      <c r="W100" s="6" t="s">
        <v>3374</v>
      </c>
    </row>
    <row r="101" spans="1:23" x14ac:dyDescent="0.4">
      <c r="A101" s="7"/>
      <c r="B101" s="7"/>
      <c r="C101" s="7"/>
      <c r="D101" s="7"/>
      <c r="E101" s="7"/>
      <c r="F101" s="7"/>
      <c r="G101" s="24"/>
      <c r="H101" s="5"/>
      <c r="I101" s="24"/>
      <c r="J101" s="5"/>
      <c r="K101" s="24"/>
      <c r="L101" s="5"/>
      <c r="M101" s="27"/>
      <c r="N101" s="5"/>
      <c r="P101" s="6" t="str">
        <f t="shared" si="69"/>
        <v>N</v>
      </c>
      <c r="Q101" s="6" t="s">
        <v>3375</v>
      </c>
      <c r="R101" t="str">
        <f t="shared" ref="R101:V101" si="101">IF(EXACT(S101,I101)=TRUE,"Y","N")</f>
        <v>N</v>
      </c>
      <c r="S101" t="s">
        <v>3376</v>
      </c>
      <c r="T101" t="str">
        <f t="shared" si="101"/>
        <v>N</v>
      </c>
      <c r="U101" s="6" t="s">
        <v>3377</v>
      </c>
      <c r="V101" s="6" t="str">
        <f t="shared" si="101"/>
        <v>N</v>
      </c>
      <c r="W101" s="6" t="s">
        <v>3378</v>
      </c>
    </row>
    <row r="102" spans="1:23" x14ac:dyDescent="0.4">
      <c r="A102" s="7"/>
      <c r="B102" s="7"/>
      <c r="C102" s="7"/>
      <c r="D102" s="7"/>
      <c r="E102" s="7"/>
      <c r="F102" s="7"/>
      <c r="G102" s="24"/>
      <c r="H102" s="5"/>
      <c r="I102" s="24"/>
      <c r="J102" s="5"/>
      <c r="K102" s="24"/>
      <c r="L102" s="5"/>
      <c r="M102" s="27"/>
      <c r="N102" s="5"/>
      <c r="P102" s="6" t="str">
        <f t="shared" si="69"/>
        <v>N</v>
      </c>
      <c r="Q102" s="6" t="s">
        <v>3227</v>
      </c>
      <c r="R102" t="str">
        <f t="shared" ref="R102:V102" si="102">IF(EXACT(S102,I102)=TRUE,"Y","N")</f>
        <v>N</v>
      </c>
      <c r="S102" t="s">
        <v>3379</v>
      </c>
      <c r="T102" t="str">
        <f t="shared" si="102"/>
        <v>N</v>
      </c>
      <c r="U102" s="6" t="s">
        <v>3380</v>
      </c>
      <c r="V102" s="6" t="str">
        <f t="shared" si="102"/>
        <v>N</v>
      </c>
      <c r="W102" s="6" t="s">
        <v>3381</v>
      </c>
    </row>
    <row r="103" spans="1:23" x14ac:dyDescent="0.4">
      <c r="A103" s="7"/>
      <c r="B103" s="7"/>
      <c r="C103" s="7"/>
      <c r="D103" s="7"/>
      <c r="E103" s="7"/>
      <c r="F103" s="7"/>
      <c r="G103" s="24"/>
      <c r="H103" s="5"/>
      <c r="I103" s="24"/>
      <c r="J103" s="5"/>
      <c r="K103" s="24"/>
      <c r="L103" s="5"/>
      <c r="M103" s="27"/>
      <c r="N103" s="5"/>
      <c r="P103" s="6" t="str">
        <f t="shared" si="69"/>
        <v>N</v>
      </c>
      <c r="Q103" s="6" t="s">
        <v>3382</v>
      </c>
      <c r="R103" t="str">
        <f t="shared" ref="R103:V103" si="103">IF(EXACT(S103,I103)=TRUE,"Y","N")</f>
        <v>N</v>
      </c>
      <c r="S103" t="s">
        <v>3383</v>
      </c>
      <c r="T103" t="str">
        <f t="shared" si="103"/>
        <v>N</v>
      </c>
      <c r="U103" s="6" t="s">
        <v>1076</v>
      </c>
      <c r="V103" s="6" t="str">
        <f t="shared" si="103"/>
        <v>N</v>
      </c>
      <c r="W103" s="6" t="s">
        <v>663</v>
      </c>
    </row>
    <row r="104" spans="1:23" x14ac:dyDescent="0.4">
      <c r="A104" s="7"/>
      <c r="B104" s="7"/>
      <c r="C104" s="7"/>
      <c r="D104" s="7"/>
      <c r="E104" s="7"/>
      <c r="F104" s="7"/>
      <c r="G104" s="24"/>
      <c r="H104" s="5"/>
      <c r="I104" s="24"/>
      <c r="J104" s="5"/>
      <c r="K104" s="24"/>
      <c r="L104" s="5"/>
      <c r="M104" s="27"/>
      <c r="N104" s="5"/>
      <c r="P104" s="6" t="str">
        <f t="shared" si="69"/>
        <v>N</v>
      </c>
      <c r="Q104" s="6" t="s">
        <v>3384</v>
      </c>
      <c r="R104" t="str">
        <f t="shared" ref="R104:V104" si="104">IF(EXACT(S104,I104)=TRUE,"Y","N")</f>
        <v>N</v>
      </c>
      <c r="S104" t="s">
        <v>3385</v>
      </c>
      <c r="T104" t="str">
        <f t="shared" si="104"/>
        <v>N</v>
      </c>
      <c r="U104" s="6" t="s">
        <v>3279</v>
      </c>
      <c r="V104" s="6" t="str">
        <f t="shared" si="104"/>
        <v>N</v>
      </c>
      <c r="W104" s="6" t="s">
        <v>3202</v>
      </c>
    </row>
    <row r="105" spans="1:23" x14ac:dyDescent="0.4">
      <c r="A105" s="7"/>
      <c r="B105" s="7"/>
      <c r="C105" s="7"/>
      <c r="D105" s="7"/>
      <c r="E105" s="7"/>
      <c r="F105" s="7"/>
      <c r="G105" s="24"/>
      <c r="H105" s="5"/>
      <c r="I105" s="24"/>
      <c r="J105" s="5"/>
      <c r="K105" s="24"/>
      <c r="L105" s="5"/>
      <c r="M105" s="27"/>
      <c r="N105" s="5"/>
      <c r="P105" s="6" t="str">
        <f t="shared" si="69"/>
        <v>N</v>
      </c>
      <c r="Q105" s="6" t="s">
        <v>3386</v>
      </c>
      <c r="R105" t="str">
        <f t="shared" ref="R105:V105" si="105">IF(EXACT(S105,I105)=TRUE,"Y","N")</f>
        <v>N</v>
      </c>
      <c r="S105" t="s">
        <v>3387</v>
      </c>
      <c r="T105" t="str">
        <f t="shared" si="105"/>
        <v>N</v>
      </c>
      <c r="U105" s="6" t="s">
        <v>3388</v>
      </c>
      <c r="V105" s="6" t="str">
        <f t="shared" si="105"/>
        <v>N</v>
      </c>
      <c r="W105" s="6" t="s">
        <v>3389</v>
      </c>
    </row>
    <row r="106" spans="1:23" x14ac:dyDescent="0.4">
      <c r="A106" s="7"/>
      <c r="B106" s="7"/>
      <c r="C106" s="7"/>
      <c r="D106" s="7"/>
      <c r="E106" s="7"/>
      <c r="F106" s="7"/>
      <c r="G106" s="24"/>
      <c r="H106" s="5"/>
      <c r="I106" s="24"/>
      <c r="J106" s="5"/>
      <c r="K106" s="24"/>
      <c r="L106" s="5"/>
      <c r="M106" s="27"/>
      <c r="N106" s="5"/>
      <c r="P106" s="6" t="str">
        <f t="shared" si="69"/>
        <v>N</v>
      </c>
      <c r="Q106" s="6" t="s">
        <v>3208</v>
      </c>
      <c r="R106" t="str">
        <f t="shared" ref="R106:V106" si="106">IF(EXACT(S106,I106)=TRUE,"Y","N")</f>
        <v>N</v>
      </c>
      <c r="S106" t="s">
        <v>3390</v>
      </c>
      <c r="T106" t="str">
        <f t="shared" si="106"/>
        <v>N</v>
      </c>
      <c r="U106" s="6" t="s">
        <v>3391</v>
      </c>
      <c r="V106" s="6" t="str">
        <f t="shared" si="106"/>
        <v>N</v>
      </c>
      <c r="W106" s="6" t="s">
        <v>3392</v>
      </c>
    </row>
    <row r="107" spans="1:23" x14ac:dyDescent="0.4">
      <c r="A107" s="7"/>
      <c r="B107" s="7"/>
      <c r="C107" s="7"/>
      <c r="D107" s="7"/>
      <c r="E107" s="7"/>
      <c r="F107" s="7"/>
      <c r="G107" s="24"/>
      <c r="H107" s="5"/>
      <c r="I107" s="24"/>
      <c r="J107" s="5"/>
      <c r="K107" s="24"/>
      <c r="L107" s="5"/>
      <c r="M107" s="27"/>
      <c r="N107" s="5"/>
      <c r="P107" s="6" t="str">
        <f t="shared" si="69"/>
        <v>N</v>
      </c>
      <c r="Q107" s="6" t="s">
        <v>291</v>
      </c>
      <c r="R107" t="str">
        <f t="shared" ref="R107:V107" si="107">IF(EXACT(S107,I107)=TRUE,"Y","N")</f>
        <v>N</v>
      </c>
      <c r="S107" t="s">
        <v>3325</v>
      </c>
      <c r="T107" t="str">
        <f t="shared" si="107"/>
        <v>N</v>
      </c>
      <c r="U107" s="6" t="s">
        <v>3393</v>
      </c>
      <c r="V107" s="6" t="str">
        <f t="shared" si="107"/>
        <v>N</v>
      </c>
      <c r="W107" s="6" t="s">
        <v>3394</v>
      </c>
    </row>
    <row r="108" spans="1:23" x14ac:dyDescent="0.4">
      <c r="A108" s="7"/>
      <c r="B108" s="7"/>
      <c r="C108" s="7"/>
      <c r="D108" s="7"/>
      <c r="E108" s="7"/>
      <c r="F108" s="7"/>
      <c r="G108" s="24"/>
      <c r="H108" s="5"/>
      <c r="I108" s="24"/>
      <c r="J108" s="5"/>
      <c r="K108" s="24"/>
      <c r="L108" s="5"/>
      <c r="M108" s="27"/>
      <c r="N108" s="5"/>
      <c r="P108" s="6" t="str">
        <f t="shared" si="69"/>
        <v>N</v>
      </c>
      <c r="Q108" s="6" t="s">
        <v>3395</v>
      </c>
      <c r="R108" t="str">
        <f t="shared" ref="R108:V108" si="108">IF(EXACT(S108,I108)=TRUE,"Y","N")</f>
        <v>N</v>
      </c>
      <c r="S108" t="s">
        <v>3329</v>
      </c>
      <c r="T108" t="str">
        <f t="shared" si="108"/>
        <v>N</v>
      </c>
      <c r="U108" s="6" t="s">
        <v>3396</v>
      </c>
      <c r="V108" s="6" t="str">
        <f t="shared" si="108"/>
        <v>N</v>
      </c>
      <c r="W108" s="6" t="s">
        <v>3397</v>
      </c>
    </row>
    <row r="109" spans="1:23" x14ac:dyDescent="0.4">
      <c r="A109" s="7"/>
      <c r="B109" s="7"/>
      <c r="C109" s="7"/>
      <c r="D109" s="7"/>
      <c r="E109" s="7"/>
      <c r="F109" s="7"/>
      <c r="G109" s="24"/>
      <c r="H109" s="5"/>
      <c r="I109" s="24"/>
      <c r="J109" s="5"/>
      <c r="K109" s="24"/>
      <c r="L109" s="5"/>
      <c r="M109" s="27"/>
      <c r="N109" s="5"/>
      <c r="P109" s="6" t="str">
        <f t="shared" si="69"/>
        <v>N</v>
      </c>
      <c r="Q109" s="6" t="s">
        <v>904</v>
      </c>
      <c r="R109" t="str">
        <f t="shared" ref="R109:V109" si="109">IF(EXACT(S109,I109)=TRUE,"Y","N")</f>
        <v>N</v>
      </c>
      <c r="S109" t="s">
        <v>3334</v>
      </c>
      <c r="T109" t="str">
        <f t="shared" si="109"/>
        <v>N</v>
      </c>
      <c r="U109" s="6" t="s">
        <v>1919</v>
      </c>
      <c r="V109" s="6" t="str">
        <f t="shared" si="109"/>
        <v>N</v>
      </c>
      <c r="W109" s="6" t="s">
        <v>3398</v>
      </c>
    </row>
    <row r="110" spans="1:23" x14ac:dyDescent="0.4">
      <c r="A110" s="7"/>
      <c r="B110" s="7"/>
      <c r="C110" s="7"/>
      <c r="D110" s="7"/>
      <c r="E110" s="7"/>
      <c r="F110" s="7"/>
      <c r="G110" s="24"/>
      <c r="H110" s="5"/>
      <c r="I110" s="24"/>
      <c r="J110" s="5"/>
      <c r="K110" s="24"/>
      <c r="L110" s="5"/>
      <c r="M110" s="27"/>
      <c r="N110" s="5"/>
      <c r="P110" s="6" t="str">
        <f t="shared" si="69"/>
        <v>N</v>
      </c>
      <c r="Q110" s="6" t="s">
        <v>3399</v>
      </c>
      <c r="R110" t="str">
        <f t="shared" ref="R110:V110" si="110">IF(EXACT(S110,I110)=TRUE,"Y","N")</f>
        <v>N</v>
      </c>
      <c r="S110" t="s">
        <v>241</v>
      </c>
      <c r="T110" t="str">
        <f t="shared" si="110"/>
        <v>N</v>
      </c>
      <c r="U110" s="6" t="s">
        <v>3400</v>
      </c>
      <c r="V110" s="6" t="str">
        <f t="shared" si="110"/>
        <v>N</v>
      </c>
      <c r="W110" s="6" t="s">
        <v>3307</v>
      </c>
    </row>
    <row r="111" spans="1:23" x14ac:dyDescent="0.4">
      <c r="A111" s="7"/>
      <c r="B111" s="7"/>
      <c r="C111" s="7"/>
      <c r="D111" s="7"/>
      <c r="E111" s="7"/>
      <c r="F111" s="7"/>
      <c r="G111" s="24"/>
      <c r="H111" s="5"/>
      <c r="I111" s="24"/>
      <c r="J111" s="5"/>
      <c r="K111" s="24"/>
      <c r="L111" s="5"/>
      <c r="M111" s="27"/>
      <c r="N111" s="5"/>
      <c r="P111" s="6" t="str">
        <f t="shared" si="69"/>
        <v>N</v>
      </c>
      <c r="Q111" s="6" t="s">
        <v>3401</v>
      </c>
      <c r="R111" t="str">
        <f t="shared" ref="R111:V111" si="111">IF(EXACT(S111,I111)=TRUE,"Y","N")</f>
        <v>N</v>
      </c>
      <c r="S111" t="s">
        <v>3182</v>
      </c>
      <c r="T111" t="str">
        <f t="shared" si="111"/>
        <v>N</v>
      </c>
      <c r="U111" s="6" t="s">
        <v>3402</v>
      </c>
      <c r="V111" s="6" t="str">
        <f t="shared" si="111"/>
        <v>N</v>
      </c>
      <c r="W111" s="6" t="s">
        <v>3403</v>
      </c>
    </row>
    <row r="112" spans="1:23" x14ac:dyDescent="0.4">
      <c r="A112" s="7"/>
      <c r="B112" s="7"/>
      <c r="C112" s="7"/>
      <c r="D112" s="7"/>
      <c r="E112" s="7"/>
      <c r="F112" s="7"/>
      <c r="G112" s="24"/>
      <c r="H112" s="5"/>
      <c r="I112" s="24"/>
      <c r="J112" s="5"/>
      <c r="K112" s="24"/>
      <c r="L112" s="5"/>
      <c r="M112" s="27"/>
      <c r="N112" s="5"/>
      <c r="P112" s="6" t="str">
        <f t="shared" si="69"/>
        <v>N</v>
      </c>
      <c r="Q112" s="6" t="s">
        <v>3281</v>
      </c>
      <c r="R112" t="str">
        <f t="shared" ref="R112:V112" si="112">IF(EXACT(S112,I112)=TRUE,"Y","N")</f>
        <v>N</v>
      </c>
      <c r="S112" t="s">
        <v>2933</v>
      </c>
      <c r="T112" t="str">
        <f t="shared" si="112"/>
        <v>N</v>
      </c>
      <c r="U112" s="6" t="s">
        <v>3404</v>
      </c>
      <c r="V112" s="6" t="str">
        <f t="shared" si="112"/>
        <v>N</v>
      </c>
      <c r="W112" s="6" t="s">
        <v>3405</v>
      </c>
    </row>
    <row r="113" spans="1:23" x14ac:dyDescent="0.4">
      <c r="A113" s="7"/>
      <c r="B113" s="7"/>
      <c r="C113" s="7"/>
      <c r="D113" s="7"/>
      <c r="E113" s="7"/>
      <c r="F113" s="7"/>
      <c r="G113" s="24"/>
      <c r="H113" s="5"/>
      <c r="I113" s="24"/>
      <c r="J113" s="5"/>
      <c r="K113" s="24"/>
      <c r="L113" s="5"/>
      <c r="M113" s="27"/>
      <c r="N113" s="5"/>
      <c r="P113" s="6" t="str">
        <f t="shared" si="69"/>
        <v>N</v>
      </c>
      <c r="Q113" s="6" t="s">
        <v>3406</v>
      </c>
      <c r="R113" t="str">
        <f t="shared" ref="R113:V113" si="113">IF(EXACT(S113,I113)=TRUE,"Y","N")</f>
        <v>N</v>
      </c>
      <c r="S113" t="s">
        <v>3407</v>
      </c>
      <c r="T113" t="str">
        <f t="shared" si="113"/>
        <v>N</v>
      </c>
      <c r="U113" s="6" t="s">
        <v>3408</v>
      </c>
      <c r="V113" s="6" t="str">
        <f t="shared" si="113"/>
        <v>N</v>
      </c>
      <c r="W113" s="6" t="s">
        <v>3409</v>
      </c>
    </row>
    <row r="114" spans="1:23" x14ac:dyDescent="0.4">
      <c r="A114" s="7"/>
      <c r="B114" s="7"/>
      <c r="C114" s="7"/>
      <c r="D114" s="7"/>
      <c r="E114" s="7"/>
      <c r="F114" s="7"/>
      <c r="G114" s="24"/>
      <c r="H114" s="5"/>
      <c r="I114" s="24"/>
      <c r="J114" s="5"/>
      <c r="K114" s="24"/>
      <c r="L114" s="5"/>
      <c r="M114" s="27"/>
      <c r="N114" s="5"/>
      <c r="P114" s="6" t="str">
        <f t="shared" si="69"/>
        <v>N</v>
      </c>
      <c r="Q114" s="6" t="s">
        <v>3410</v>
      </c>
      <c r="R114" t="str">
        <f t="shared" ref="R114:V114" si="114">IF(EXACT(S114,I114)=TRUE,"Y","N")</f>
        <v>N</v>
      </c>
      <c r="S114" t="s">
        <v>3411</v>
      </c>
      <c r="T114" t="str">
        <f t="shared" si="114"/>
        <v>N</v>
      </c>
      <c r="U114" s="6" t="s">
        <v>3412</v>
      </c>
      <c r="V114" s="6" t="str">
        <f t="shared" si="114"/>
        <v>N</v>
      </c>
      <c r="W114" s="6" t="s">
        <v>3413</v>
      </c>
    </row>
    <row r="115" spans="1:23" x14ac:dyDescent="0.4">
      <c r="A115" s="7"/>
      <c r="B115" s="7"/>
      <c r="C115" s="7"/>
      <c r="D115" s="7"/>
      <c r="E115" s="7"/>
      <c r="F115" s="7"/>
      <c r="G115" s="24"/>
      <c r="H115" s="5"/>
      <c r="I115" s="24"/>
      <c r="J115" s="5"/>
      <c r="K115" s="24"/>
      <c r="L115" s="5"/>
      <c r="M115" s="27"/>
      <c r="N115" s="5"/>
      <c r="P115" s="6" t="str">
        <f t="shared" ref="P115:P178" si="115">IF(EXACT(Q115,W115)=TRUE,"Y","N")</f>
        <v>N</v>
      </c>
      <c r="Q115" t="s">
        <v>697</v>
      </c>
      <c r="R115" t="str">
        <f t="shared" ref="R115:R145" si="116">IF(EXACT(S115,I115)=TRUE,"Y","N")</f>
        <v>N</v>
      </c>
      <c r="S115" t="s">
        <v>3414</v>
      </c>
      <c r="T115" t="str">
        <f>IF(EXACT(U115,K115)=TRUE,"Y","N")</f>
        <v>N</v>
      </c>
      <c r="U115" s="6" t="s">
        <v>3415</v>
      </c>
      <c r="V115" s="6" t="str">
        <f t="shared" ref="V115:V178" si="117">IF(EXACT(W115,M115)=TRUE,"Y","N")</f>
        <v>N</v>
      </c>
      <c r="W115" s="6" t="s">
        <v>3416</v>
      </c>
    </row>
    <row r="116" spans="1:23" x14ac:dyDescent="0.4">
      <c r="A116" s="7"/>
      <c r="B116" s="7"/>
      <c r="C116" s="7"/>
      <c r="D116" s="7"/>
      <c r="E116" s="7"/>
      <c r="F116" s="7"/>
      <c r="G116" s="24"/>
      <c r="H116" s="5"/>
      <c r="I116" s="24"/>
      <c r="J116" s="5"/>
      <c r="K116" s="24"/>
      <c r="L116" s="5"/>
      <c r="M116" s="27"/>
      <c r="N116" s="5"/>
      <c r="P116" s="6" t="str">
        <f t="shared" si="115"/>
        <v>N</v>
      </c>
      <c r="Q116" t="s">
        <v>3417</v>
      </c>
      <c r="R116" t="str">
        <f t="shared" si="116"/>
        <v>N</v>
      </c>
      <c r="S116" t="s">
        <v>3418</v>
      </c>
      <c r="T116" t="str">
        <f t="shared" ref="T116:T147" si="118">IF(EXACT(U116,K116)=TRUE,"Y","N")</f>
        <v>N</v>
      </c>
      <c r="U116" s="6" t="s">
        <v>3419</v>
      </c>
      <c r="V116" s="6" t="str">
        <f t="shared" si="117"/>
        <v>N</v>
      </c>
      <c r="W116" s="6" t="s">
        <v>3420</v>
      </c>
    </row>
    <row r="117" spans="1:23" x14ac:dyDescent="0.4">
      <c r="A117" s="7"/>
      <c r="B117" s="7"/>
      <c r="C117" s="7"/>
      <c r="D117" s="7"/>
      <c r="E117" s="7"/>
      <c r="F117" s="7"/>
      <c r="G117" s="24"/>
      <c r="H117" s="5"/>
      <c r="I117" s="24"/>
      <c r="J117" s="5"/>
      <c r="K117" s="24"/>
      <c r="L117" s="5"/>
      <c r="M117" s="27"/>
      <c r="N117" s="5"/>
      <c r="P117" s="6" t="str">
        <f t="shared" si="115"/>
        <v>N</v>
      </c>
      <c r="Q117" t="s">
        <v>323</v>
      </c>
      <c r="R117" t="str">
        <f t="shared" si="116"/>
        <v>N</v>
      </c>
      <c r="S117" t="s">
        <v>3421</v>
      </c>
      <c r="T117" t="str">
        <f t="shared" si="118"/>
        <v>N</v>
      </c>
      <c r="U117" s="6" t="s">
        <v>3422</v>
      </c>
      <c r="V117" s="6" t="str">
        <f t="shared" si="117"/>
        <v>N</v>
      </c>
      <c r="W117" s="6" t="s">
        <v>3423</v>
      </c>
    </row>
    <row r="118" spans="1:23" x14ac:dyDescent="0.4">
      <c r="A118" s="7"/>
      <c r="B118" s="7"/>
      <c r="C118" s="7"/>
      <c r="D118" s="7"/>
      <c r="E118" s="7"/>
      <c r="F118" s="7"/>
      <c r="G118" s="24"/>
      <c r="H118" s="5"/>
      <c r="I118" s="24"/>
      <c r="J118" s="5"/>
      <c r="K118" s="24"/>
      <c r="L118" s="5"/>
      <c r="M118" s="27"/>
      <c r="N118" s="5"/>
      <c r="P118" s="6" t="str">
        <f t="shared" si="115"/>
        <v>N</v>
      </c>
      <c r="Q118" t="s">
        <v>1030</v>
      </c>
      <c r="R118" t="str">
        <f t="shared" si="116"/>
        <v>N</v>
      </c>
      <c r="S118" t="s">
        <v>3424</v>
      </c>
      <c r="T118" t="str">
        <f t="shared" si="118"/>
        <v>N</v>
      </c>
      <c r="U118" s="6" t="s">
        <v>3425</v>
      </c>
      <c r="V118" s="6" t="str">
        <f t="shared" si="117"/>
        <v>N</v>
      </c>
      <c r="W118" s="6" t="s">
        <v>3426</v>
      </c>
    </row>
    <row r="119" spans="1:23" x14ac:dyDescent="0.4">
      <c r="A119" s="7"/>
      <c r="B119" s="7"/>
      <c r="C119" s="7"/>
      <c r="D119" s="7"/>
      <c r="E119" s="7"/>
      <c r="F119" s="7"/>
      <c r="G119" s="24"/>
      <c r="H119" s="5"/>
      <c r="I119" s="24"/>
      <c r="J119" s="5"/>
      <c r="K119" s="24"/>
      <c r="L119" s="5"/>
      <c r="M119" s="27"/>
      <c r="N119" s="5"/>
      <c r="P119" s="6" t="str">
        <f t="shared" si="115"/>
        <v>N</v>
      </c>
      <c r="Q119" t="s">
        <v>3427</v>
      </c>
      <c r="R119" t="str">
        <f t="shared" si="116"/>
        <v>N</v>
      </c>
      <c r="S119" t="s">
        <v>3428</v>
      </c>
      <c r="T119" t="str">
        <f t="shared" si="118"/>
        <v>N</v>
      </c>
      <c r="U119" s="6" t="s">
        <v>3429</v>
      </c>
      <c r="V119" s="6" t="str">
        <f t="shared" si="117"/>
        <v>N</v>
      </c>
      <c r="W119" s="6" t="s">
        <v>3430</v>
      </c>
    </row>
    <row r="120" spans="1:23" x14ac:dyDescent="0.4">
      <c r="A120" s="7"/>
      <c r="B120" s="7"/>
      <c r="C120" s="7"/>
      <c r="D120" s="7"/>
      <c r="E120" s="7"/>
      <c r="F120" s="7"/>
      <c r="G120" s="24"/>
      <c r="H120" s="5"/>
      <c r="I120" s="24"/>
      <c r="J120" s="5"/>
      <c r="K120" s="24"/>
      <c r="L120" s="5"/>
      <c r="M120" s="27"/>
      <c r="N120" s="5"/>
      <c r="P120" s="6" t="str">
        <f t="shared" si="115"/>
        <v>N</v>
      </c>
      <c r="Q120" t="s">
        <v>975</v>
      </c>
      <c r="R120" t="str">
        <f t="shared" si="116"/>
        <v>N</v>
      </c>
      <c r="S120" t="s">
        <v>1930</v>
      </c>
      <c r="T120" t="str">
        <f t="shared" si="118"/>
        <v>N</v>
      </c>
      <c r="U120" s="6" t="s">
        <v>3431</v>
      </c>
      <c r="V120" s="6" t="str">
        <f t="shared" si="117"/>
        <v>N</v>
      </c>
      <c r="W120" s="6" t="s">
        <v>3432</v>
      </c>
    </row>
    <row r="121" spans="1:23" x14ac:dyDescent="0.4">
      <c r="A121" s="7"/>
      <c r="B121" s="7"/>
      <c r="C121" s="7"/>
      <c r="D121" s="7"/>
      <c r="E121" s="7"/>
      <c r="F121" s="7"/>
      <c r="G121" s="24"/>
      <c r="H121" s="5"/>
      <c r="I121" s="24"/>
      <c r="J121" s="5"/>
      <c r="K121" s="24"/>
      <c r="L121" s="5"/>
      <c r="M121" s="27"/>
      <c r="N121" s="5"/>
      <c r="P121" s="6" t="str">
        <f t="shared" si="115"/>
        <v>N</v>
      </c>
      <c r="Q121" t="s">
        <v>3433</v>
      </c>
      <c r="R121" t="str">
        <f t="shared" si="116"/>
        <v>N</v>
      </c>
      <c r="S121" t="s">
        <v>3434</v>
      </c>
      <c r="T121" t="str">
        <f t="shared" si="118"/>
        <v>N</v>
      </c>
      <c r="U121" s="6" t="s">
        <v>3435</v>
      </c>
      <c r="V121" s="6" t="str">
        <f t="shared" si="117"/>
        <v>N</v>
      </c>
      <c r="W121" s="6" t="s">
        <v>3436</v>
      </c>
    </row>
    <row r="122" spans="1:23" x14ac:dyDescent="0.4">
      <c r="A122" s="7"/>
      <c r="B122" s="7"/>
      <c r="C122" s="7"/>
      <c r="D122" s="7"/>
      <c r="E122" s="7"/>
      <c r="F122" s="7"/>
      <c r="G122" s="24"/>
      <c r="H122" s="5"/>
      <c r="I122" s="24"/>
      <c r="J122" s="5"/>
      <c r="K122" s="24"/>
      <c r="L122" s="5"/>
      <c r="M122" s="27"/>
      <c r="N122" s="5"/>
      <c r="P122" s="6" t="str">
        <f t="shared" si="115"/>
        <v>N</v>
      </c>
      <c r="Q122" t="s">
        <v>81</v>
      </c>
      <c r="R122" t="str">
        <f t="shared" si="116"/>
        <v>N</v>
      </c>
      <c r="S122" t="s">
        <v>1790</v>
      </c>
      <c r="T122" t="str">
        <f t="shared" si="118"/>
        <v>N</v>
      </c>
      <c r="U122" s="6" t="s">
        <v>3437</v>
      </c>
      <c r="V122" s="6" t="str">
        <f t="shared" si="117"/>
        <v>N</v>
      </c>
      <c r="W122" s="6" t="s">
        <v>3438</v>
      </c>
    </row>
    <row r="123" spans="1:23" x14ac:dyDescent="0.4">
      <c r="A123" s="7"/>
      <c r="B123" s="7"/>
      <c r="C123" s="7"/>
      <c r="D123" s="7"/>
      <c r="E123" s="7"/>
      <c r="F123" s="7"/>
      <c r="G123" s="24"/>
      <c r="H123" s="5"/>
      <c r="I123" s="24"/>
      <c r="J123" s="5"/>
      <c r="K123" s="24"/>
      <c r="L123" s="5"/>
      <c r="M123" s="27"/>
      <c r="N123" s="5"/>
      <c r="P123" s="6" t="str">
        <f t="shared" si="115"/>
        <v>N</v>
      </c>
      <c r="Q123" t="s">
        <v>1406</v>
      </c>
      <c r="R123" t="str">
        <f t="shared" si="116"/>
        <v>N</v>
      </c>
      <c r="S123" t="s">
        <v>3439</v>
      </c>
      <c r="T123" t="str">
        <f t="shared" si="118"/>
        <v>N</v>
      </c>
      <c r="U123" s="6" t="s">
        <v>3440</v>
      </c>
      <c r="V123" s="6" t="str">
        <f t="shared" si="117"/>
        <v>N</v>
      </c>
      <c r="W123" s="6" t="s">
        <v>175</v>
      </c>
    </row>
    <row r="124" spans="1:23" x14ac:dyDescent="0.4">
      <c r="A124" s="7"/>
      <c r="B124" s="7"/>
      <c r="C124" s="7"/>
      <c r="D124" s="7"/>
      <c r="E124" s="7"/>
      <c r="F124" s="7"/>
      <c r="G124" s="24"/>
      <c r="H124" s="5"/>
      <c r="I124" s="24"/>
      <c r="J124" s="5"/>
      <c r="K124" s="24"/>
      <c r="L124" s="5"/>
      <c r="M124" s="27"/>
      <c r="N124" s="5"/>
      <c r="P124" s="6" t="str">
        <f t="shared" si="115"/>
        <v>N</v>
      </c>
      <c r="Q124" t="s">
        <v>1943</v>
      </c>
      <c r="R124" t="str">
        <f t="shared" si="116"/>
        <v>N</v>
      </c>
      <c r="S124" t="s">
        <v>3441</v>
      </c>
      <c r="T124" t="str">
        <f t="shared" si="118"/>
        <v>N</v>
      </c>
      <c r="U124" s="6" t="s">
        <v>3442</v>
      </c>
      <c r="V124" s="6" t="str">
        <f t="shared" si="117"/>
        <v>N</v>
      </c>
      <c r="W124" s="6" t="s">
        <v>3443</v>
      </c>
    </row>
    <row r="125" spans="1:23" x14ac:dyDescent="0.4">
      <c r="A125" s="7"/>
      <c r="B125" s="7"/>
      <c r="C125" s="7"/>
      <c r="D125" s="7"/>
      <c r="E125" s="7"/>
      <c r="F125" s="7"/>
      <c r="G125" s="24"/>
      <c r="H125" s="5"/>
      <c r="I125" s="24"/>
      <c r="J125" s="5"/>
      <c r="K125" s="24"/>
      <c r="L125" s="5"/>
      <c r="M125" s="27"/>
      <c r="N125" s="5"/>
      <c r="P125" s="6" t="str">
        <f t="shared" si="115"/>
        <v>N</v>
      </c>
      <c r="Q125" t="s">
        <v>3444</v>
      </c>
      <c r="R125" t="str">
        <f t="shared" si="116"/>
        <v>N</v>
      </c>
      <c r="S125" t="s">
        <v>3445</v>
      </c>
      <c r="T125" t="str">
        <f t="shared" si="118"/>
        <v>N</v>
      </c>
      <c r="U125" s="6" t="s">
        <v>3446</v>
      </c>
      <c r="V125" s="6" t="str">
        <f t="shared" si="117"/>
        <v>N</v>
      </c>
      <c r="W125" s="6" t="s">
        <v>249</v>
      </c>
    </row>
    <row r="126" spans="1:23" x14ac:dyDescent="0.4">
      <c r="A126" s="7"/>
      <c r="B126" s="7"/>
      <c r="C126" s="7"/>
      <c r="D126" s="7"/>
      <c r="E126" s="7"/>
      <c r="F126" s="7"/>
      <c r="G126" s="24"/>
      <c r="H126" s="5"/>
      <c r="I126" s="24"/>
      <c r="J126" s="5"/>
      <c r="K126" s="24"/>
      <c r="L126" s="5"/>
      <c r="M126" s="27"/>
      <c r="N126" s="5"/>
      <c r="P126" s="6" t="str">
        <f t="shared" si="115"/>
        <v>N</v>
      </c>
      <c r="Q126" t="s">
        <v>3447</v>
      </c>
      <c r="R126" t="str">
        <f t="shared" si="116"/>
        <v>N</v>
      </c>
      <c r="S126" t="s">
        <v>3448</v>
      </c>
      <c r="T126" t="str">
        <f t="shared" si="118"/>
        <v>N</v>
      </c>
      <c r="U126" s="6" t="s">
        <v>3449</v>
      </c>
      <c r="V126" s="6" t="str">
        <f t="shared" si="117"/>
        <v>N</v>
      </c>
      <c r="W126" s="6" t="s">
        <v>495</v>
      </c>
    </row>
    <row r="127" spans="1:23" x14ac:dyDescent="0.4">
      <c r="A127" s="7"/>
      <c r="B127" s="7"/>
      <c r="C127" s="7"/>
      <c r="D127" s="7"/>
      <c r="E127" s="7"/>
      <c r="F127" s="7"/>
      <c r="G127" s="24"/>
      <c r="H127" s="5"/>
      <c r="I127" s="24"/>
      <c r="J127" s="5"/>
      <c r="K127" s="24"/>
      <c r="L127" s="5"/>
      <c r="M127" s="27"/>
      <c r="N127" s="5"/>
      <c r="P127" s="6" t="str">
        <f t="shared" si="115"/>
        <v>N</v>
      </c>
      <c r="Q127" t="s">
        <v>2500</v>
      </c>
      <c r="R127" t="str">
        <f t="shared" si="116"/>
        <v>N</v>
      </c>
      <c r="S127" t="s">
        <v>3450</v>
      </c>
      <c r="T127" t="str">
        <f t="shared" si="118"/>
        <v>N</v>
      </c>
      <c r="U127" s="6" t="s">
        <v>3451</v>
      </c>
      <c r="V127" s="6" t="str">
        <f t="shared" si="117"/>
        <v>N</v>
      </c>
      <c r="W127" s="6" t="s">
        <v>3452</v>
      </c>
    </row>
    <row r="128" spans="1:23" x14ac:dyDescent="0.4">
      <c r="A128" s="7"/>
      <c r="B128" s="7"/>
      <c r="C128" s="7"/>
      <c r="D128" s="7"/>
      <c r="E128" s="7"/>
      <c r="F128" s="7"/>
      <c r="G128" s="24"/>
      <c r="H128" s="5"/>
      <c r="I128" s="24"/>
      <c r="J128" s="5"/>
      <c r="K128" s="24"/>
      <c r="L128" s="5"/>
      <c r="M128" s="27"/>
      <c r="N128" s="5"/>
      <c r="P128" s="6" t="str">
        <f t="shared" si="115"/>
        <v>N</v>
      </c>
      <c r="Q128" t="s">
        <v>3453</v>
      </c>
      <c r="R128" t="str">
        <f t="shared" si="116"/>
        <v>N</v>
      </c>
      <c r="S128" t="s">
        <v>3454</v>
      </c>
      <c r="T128" t="str">
        <f t="shared" si="118"/>
        <v>N</v>
      </c>
      <c r="U128" s="6" t="s">
        <v>3455</v>
      </c>
      <c r="V128" s="6" t="str">
        <f t="shared" si="117"/>
        <v>N</v>
      </c>
      <c r="W128" s="6" t="s">
        <v>3456</v>
      </c>
    </row>
    <row r="129" spans="1:23" x14ac:dyDescent="0.4">
      <c r="A129" s="7"/>
      <c r="B129" s="7"/>
      <c r="C129" s="7"/>
      <c r="D129" s="7"/>
      <c r="E129" s="7"/>
      <c r="F129" s="7"/>
      <c r="G129" s="24"/>
      <c r="H129" s="5"/>
      <c r="I129" s="24"/>
      <c r="J129" s="5"/>
      <c r="K129" s="24"/>
      <c r="L129" s="5"/>
      <c r="M129" s="27"/>
      <c r="N129" s="5"/>
      <c r="P129" s="6" t="str">
        <f t="shared" si="115"/>
        <v>N</v>
      </c>
      <c r="Q129" t="s">
        <v>3457</v>
      </c>
      <c r="R129" t="str">
        <f t="shared" si="116"/>
        <v>N</v>
      </c>
      <c r="S129" t="s">
        <v>3458</v>
      </c>
      <c r="T129" t="str">
        <f t="shared" si="118"/>
        <v>N</v>
      </c>
      <c r="U129" s="6" t="s">
        <v>3459</v>
      </c>
      <c r="V129" s="6" t="str">
        <f t="shared" si="117"/>
        <v>N</v>
      </c>
      <c r="W129" s="6" t="s">
        <v>3460</v>
      </c>
    </row>
    <row r="130" spans="1:23" x14ac:dyDescent="0.4">
      <c r="A130" s="7"/>
      <c r="B130" s="7"/>
      <c r="C130" s="7"/>
      <c r="D130" s="7"/>
      <c r="E130" s="7"/>
      <c r="F130" s="7"/>
      <c r="G130" s="24"/>
      <c r="H130" s="5"/>
      <c r="I130" s="24"/>
      <c r="J130" s="5"/>
      <c r="K130" s="24"/>
      <c r="L130" s="5"/>
      <c r="M130" s="27"/>
      <c r="N130" s="5"/>
      <c r="P130" s="6" t="str">
        <f t="shared" si="115"/>
        <v>N</v>
      </c>
      <c r="Q130" t="s">
        <v>2469</v>
      </c>
      <c r="R130" t="str">
        <f t="shared" si="116"/>
        <v>N</v>
      </c>
      <c r="S130" t="s">
        <v>3461</v>
      </c>
      <c r="T130" t="str">
        <f t="shared" si="118"/>
        <v>N</v>
      </c>
      <c r="U130" s="6" t="s">
        <v>3462</v>
      </c>
      <c r="V130" s="6" t="str">
        <f t="shared" si="117"/>
        <v>N</v>
      </c>
      <c r="W130" s="6" t="s">
        <v>3463</v>
      </c>
    </row>
    <row r="131" spans="1:23" x14ac:dyDescent="0.4">
      <c r="A131" s="7"/>
      <c r="B131" s="7"/>
      <c r="C131" s="7"/>
      <c r="D131" s="7"/>
      <c r="E131" s="7"/>
      <c r="F131" s="7"/>
      <c r="G131" s="24"/>
      <c r="H131" s="5"/>
      <c r="I131" s="24"/>
      <c r="J131" s="5"/>
      <c r="K131" s="24"/>
      <c r="L131" s="5"/>
      <c r="M131" s="27"/>
      <c r="N131" s="5"/>
      <c r="P131" s="6" t="str">
        <f t="shared" si="115"/>
        <v>N</v>
      </c>
      <c r="Q131" t="s">
        <v>3464</v>
      </c>
      <c r="R131" t="str">
        <f t="shared" si="116"/>
        <v>N</v>
      </c>
      <c r="S131" t="s">
        <v>3465</v>
      </c>
      <c r="T131" t="str">
        <f t="shared" si="118"/>
        <v>N</v>
      </c>
      <c r="U131" s="6" t="s">
        <v>3466</v>
      </c>
      <c r="V131" s="6" t="str">
        <f t="shared" si="117"/>
        <v>N</v>
      </c>
      <c r="W131" s="6" t="s">
        <v>3467</v>
      </c>
    </row>
    <row r="132" spans="1:23" x14ac:dyDescent="0.4">
      <c r="A132" s="7"/>
      <c r="B132" s="7"/>
      <c r="C132" s="7"/>
      <c r="D132" s="7"/>
      <c r="E132" s="7"/>
      <c r="F132" s="7"/>
      <c r="G132" s="24"/>
      <c r="H132" s="5"/>
      <c r="I132" s="24"/>
      <c r="J132" s="5"/>
      <c r="K132" s="24"/>
      <c r="L132" s="5"/>
      <c r="M132" s="27"/>
      <c r="N132" s="5"/>
      <c r="P132" s="6" t="str">
        <f t="shared" si="115"/>
        <v>N</v>
      </c>
      <c r="Q132" t="s">
        <v>3468</v>
      </c>
      <c r="R132" t="str">
        <f t="shared" si="116"/>
        <v>N</v>
      </c>
      <c r="S132" t="s">
        <v>3469</v>
      </c>
      <c r="T132" t="str">
        <f t="shared" si="118"/>
        <v>N</v>
      </c>
      <c r="U132" s="6" t="s">
        <v>3470</v>
      </c>
      <c r="V132" s="6" t="str">
        <f t="shared" si="117"/>
        <v>N</v>
      </c>
      <c r="W132" s="6" t="s">
        <v>3471</v>
      </c>
    </row>
    <row r="133" spans="1:23" x14ac:dyDescent="0.4">
      <c r="A133" s="7"/>
      <c r="B133" s="7"/>
      <c r="C133" s="7"/>
      <c r="D133" s="7"/>
      <c r="E133" s="7"/>
      <c r="F133" s="7"/>
      <c r="G133" s="24"/>
      <c r="H133" s="5"/>
      <c r="I133" s="24"/>
      <c r="J133" s="5"/>
      <c r="K133" s="24"/>
      <c r="L133" s="5"/>
      <c r="M133" s="27"/>
      <c r="N133" s="5"/>
      <c r="P133" s="6" t="str">
        <f t="shared" si="115"/>
        <v>N</v>
      </c>
      <c r="Q133" t="s">
        <v>3472</v>
      </c>
      <c r="R133" t="str">
        <f t="shared" si="116"/>
        <v>N</v>
      </c>
      <c r="S133" t="s">
        <v>3473</v>
      </c>
      <c r="T133" t="str">
        <f t="shared" si="118"/>
        <v>N</v>
      </c>
      <c r="U133" s="6" t="s">
        <v>3474</v>
      </c>
      <c r="V133" s="6" t="str">
        <f t="shared" si="117"/>
        <v>N</v>
      </c>
      <c r="W133" s="6" t="s">
        <v>3475</v>
      </c>
    </row>
    <row r="134" spans="1:23" x14ac:dyDescent="0.4">
      <c r="A134" s="7"/>
      <c r="B134" s="7"/>
      <c r="C134" s="7"/>
      <c r="D134" s="7"/>
      <c r="E134" s="7"/>
      <c r="F134" s="7"/>
      <c r="G134" s="24"/>
      <c r="H134" s="5"/>
      <c r="I134" s="24"/>
      <c r="J134" s="5"/>
      <c r="K134" s="24"/>
      <c r="L134" s="5"/>
      <c r="M134" s="27"/>
      <c r="N134" s="5"/>
      <c r="P134" s="6" t="str">
        <f t="shared" si="115"/>
        <v>N</v>
      </c>
      <c r="Q134" t="s">
        <v>3476</v>
      </c>
      <c r="R134" t="str">
        <f t="shared" si="116"/>
        <v>N</v>
      </c>
      <c r="S134" t="s">
        <v>3477</v>
      </c>
      <c r="T134" t="str">
        <f t="shared" si="118"/>
        <v>N</v>
      </c>
      <c r="U134" s="6" t="s">
        <v>3478</v>
      </c>
      <c r="V134" s="6" t="str">
        <f t="shared" si="117"/>
        <v>N</v>
      </c>
      <c r="W134" s="6" t="s">
        <v>2257</v>
      </c>
    </row>
    <row r="135" spans="1:23" x14ac:dyDescent="0.4">
      <c r="A135" s="7"/>
      <c r="B135" s="7"/>
      <c r="C135" s="7"/>
      <c r="D135" s="7"/>
      <c r="E135" s="7"/>
      <c r="F135" s="7"/>
      <c r="G135" s="24"/>
      <c r="H135" s="5"/>
      <c r="I135" s="24"/>
      <c r="J135" s="5"/>
      <c r="K135" s="24"/>
      <c r="L135" s="5"/>
      <c r="M135" s="27"/>
      <c r="N135" s="5"/>
      <c r="P135" s="6" t="str">
        <f t="shared" si="115"/>
        <v>N</v>
      </c>
      <c r="Q135" t="s">
        <v>3479</v>
      </c>
      <c r="R135" t="str">
        <f t="shared" si="116"/>
        <v>N</v>
      </c>
      <c r="S135" t="s">
        <v>3480</v>
      </c>
      <c r="T135" t="str">
        <f t="shared" si="118"/>
        <v>N</v>
      </c>
      <c r="U135" s="6" t="s">
        <v>3481</v>
      </c>
      <c r="V135" s="6" t="str">
        <f t="shared" si="117"/>
        <v>N</v>
      </c>
      <c r="W135" s="6" t="s">
        <v>3482</v>
      </c>
    </row>
    <row r="136" spans="1:23" x14ac:dyDescent="0.4">
      <c r="A136" s="7"/>
      <c r="B136" s="7"/>
      <c r="C136" s="7"/>
      <c r="D136" s="7"/>
      <c r="E136" s="7"/>
      <c r="F136" s="7"/>
      <c r="G136" s="24"/>
      <c r="H136" s="5"/>
      <c r="I136" s="24"/>
      <c r="J136" s="5"/>
      <c r="K136" s="24"/>
      <c r="L136" s="5"/>
      <c r="M136" s="27"/>
      <c r="N136" s="5"/>
      <c r="P136" s="6" t="str">
        <f t="shared" si="115"/>
        <v>N</v>
      </c>
      <c r="Q136" t="s">
        <v>3483</v>
      </c>
      <c r="R136" t="str">
        <f t="shared" si="116"/>
        <v>N</v>
      </c>
      <c r="S136" t="s">
        <v>3484</v>
      </c>
      <c r="T136" t="str">
        <f t="shared" si="118"/>
        <v>N</v>
      </c>
      <c r="U136" s="6" t="s">
        <v>3485</v>
      </c>
      <c r="V136" s="6" t="str">
        <f t="shared" si="117"/>
        <v>N</v>
      </c>
      <c r="W136" s="6" t="s">
        <v>3486</v>
      </c>
    </row>
    <row r="137" spans="1:23" x14ac:dyDescent="0.4">
      <c r="A137" s="7"/>
      <c r="B137" s="7"/>
      <c r="C137" s="7"/>
      <c r="D137" s="7"/>
      <c r="E137" s="7"/>
      <c r="F137" s="7"/>
      <c r="G137" s="24"/>
      <c r="H137" s="5"/>
      <c r="I137" s="24"/>
      <c r="J137" s="5"/>
      <c r="K137" s="24"/>
      <c r="L137" s="5"/>
      <c r="M137" s="27"/>
      <c r="N137" s="5"/>
      <c r="P137" s="6" t="str">
        <f t="shared" si="115"/>
        <v>N</v>
      </c>
      <c r="Q137" t="s">
        <v>3487</v>
      </c>
      <c r="R137" t="str">
        <f t="shared" si="116"/>
        <v>N</v>
      </c>
      <c r="S137" t="s">
        <v>3488</v>
      </c>
      <c r="T137" t="str">
        <f t="shared" si="118"/>
        <v>N</v>
      </c>
      <c r="U137" s="6" t="s">
        <v>3489</v>
      </c>
      <c r="V137" s="6" t="str">
        <f t="shared" si="117"/>
        <v>N</v>
      </c>
      <c r="W137" s="6" t="s">
        <v>3490</v>
      </c>
    </row>
    <row r="138" spans="1:23" x14ac:dyDescent="0.4">
      <c r="A138" s="7"/>
      <c r="B138" s="7"/>
      <c r="C138" s="7"/>
      <c r="D138" s="7"/>
      <c r="E138" s="7"/>
      <c r="F138" s="7"/>
      <c r="G138" s="24"/>
      <c r="H138" s="5"/>
      <c r="I138" s="24"/>
      <c r="J138" s="5"/>
      <c r="K138" s="24"/>
      <c r="L138" s="5"/>
      <c r="M138" s="27"/>
      <c r="N138" s="5"/>
      <c r="P138" s="6" t="str">
        <f t="shared" si="115"/>
        <v>N</v>
      </c>
      <c r="Q138" t="s">
        <v>3491</v>
      </c>
      <c r="R138" t="str">
        <f t="shared" si="116"/>
        <v>N</v>
      </c>
      <c r="S138" t="s">
        <v>2190</v>
      </c>
      <c r="T138" t="str">
        <f t="shared" si="118"/>
        <v>N</v>
      </c>
      <c r="U138" s="6" t="s">
        <v>3492</v>
      </c>
      <c r="V138" s="6" t="str">
        <f t="shared" si="117"/>
        <v>N</v>
      </c>
      <c r="W138" s="6" t="s">
        <v>3493</v>
      </c>
    </row>
    <row r="139" spans="1:23" x14ac:dyDescent="0.4">
      <c r="A139" s="7"/>
      <c r="B139" s="7"/>
      <c r="C139" s="7"/>
      <c r="D139" s="7"/>
      <c r="E139" s="7"/>
      <c r="F139" s="7"/>
      <c r="G139" s="24"/>
      <c r="H139" s="5"/>
      <c r="I139" s="24"/>
      <c r="J139" s="5"/>
      <c r="K139" s="24"/>
      <c r="L139" s="5"/>
      <c r="M139" s="27"/>
      <c r="N139" s="5"/>
      <c r="P139" s="6" t="str">
        <f t="shared" si="115"/>
        <v>N</v>
      </c>
      <c r="Q139" t="s">
        <v>3494</v>
      </c>
      <c r="R139" t="str">
        <f t="shared" si="116"/>
        <v>N</v>
      </c>
      <c r="S139" t="s">
        <v>3495</v>
      </c>
      <c r="T139" t="str">
        <f t="shared" si="118"/>
        <v>N</v>
      </c>
      <c r="U139" s="6" t="s">
        <v>3496</v>
      </c>
      <c r="V139" s="6" t="str">
        <f t="shared" si="117"/>
        <v>N</v>
      </c>
      <c r="W139" s="6" t="s">
        <v>3497</v>
      </c>
    </row>
    <row r="140" spans="1:23" x14ac:dyDescent="0.4">
      <c r="A140" s="7"/>
      <c r="B140" s="7"/>
      <c r="C140" s="7"/>
      <c r="D140" s="7"/>
      <c r="E140" s="7"/>
      <c r="F140" s="7"/>
      <c r="G140" s="24"/>
      <c r="H140" s="5"/>
      <c r="I140" s="24"/>
      <c r="J140" s="5"/>
      <c r="K140" s="24"/>
      <c r="L140" s="5"/>
      <c r="M140" s="27"/>
      <c r="N140" s="5"/>
      <c r="P140" s="6" t="str">
        <f t="shared" si="115"/>
        <v>N</v>
      </c>
      <c r="Q140" t="s">
        <v>3498</v>
      </c>
      <c r="R140" t="str">
        <f t="shared" si="116"/>
        <v>N</v>
      </c>
      <c r="S140" t="s">
        <v>2415</v>
      </c>
      <c r="T140" t="str">
        <f t="shared" si="118"/>
        <v>N</v>
      </c>
      <c r="U140" s="6" t="s">
        <v>3499</v>
      </c>
      <c r="V140" s="6" t="str">
        <f t="shared" si="117"/>
        <v>N</v>
      </c>
      <c r="W140" s="6" t="s">
        <v>3364</v>
      </c>
    </row>
    <row r="141" spans="1:23" x14ac:dyDescent="0.4">
      <c r="A141" s="7"/>
      <c r="B141" s="7"/>
      <c r="C141" s="7"/>
      <c r="D141" s="7"/>
      <c r="E141" s="7"/>
      <c r="F141" s="7"/>
      <c r="G141" s="24"/>
      <c r="H141" s="5"/>
      <c r="I141" s="24"/>
      <c r="J141" s="5"/>
      <c r="K141" s="24"/>
      <c r="L141" s="5"/>
      <c r="M141" s="27"/>
      <c r="N141" s="5"/>
      <c r="P141" s="6" t="str">
        <f t="shared" si="115"/>
        <v>N</v>
      </c>
      <c r="Q141" t="s">
        <v>3500</v>
      </c>
      <c r="R141" t="str">
        <f t="shared" si="116"/>
        <v>N</v>
      </c>
      <c r="S141" t="s">
        <v>3501</v>
      </c>
      <c r="T141" t="str">
        <f t="shared" si="118"/>
        <v>N</v>
      </c>
      <c r="U141" s="6" t="s">
        <v>3502</v>
      </c>
      <c r="V141" s="6" t="str">
        <f t="shared" si="117"/>
        <v>N</v>
      </c>
      <c r="W141" s="6" t="s">
        <v>88</v>
      </c>
    </row>
    <row r="142" spans="1:23" x14ac:dyDescent="0.4">
      <c r="A142" s="7"/>
      <c r="B142" s="7"/>
      <c r="C142" s="7"/>
      <c r="D142" s="7"/>
      <c r="E142" s="7"/>
      <c r="F142" s="7"/>
      <c r="G142" s="24"/>
      <c r="H142" s="5"/>
      <c r="I142" s="24"/>
      <c r="J142" s="5"/>
      <c r="K142" s="24"/>
      <c r="L142" s="5"/>
      <c r="M142" s="27"/>
      <c r="N142" s="5"/>
      <c r="P142" s="6" t="str">
        <f t="shared" si="115"/>
        <v>N</v>
      </c>
      <c r="Q142" t="s">
        <v>3503</v>
      </c>
      <c r="R142" t="str">
        <f t="shared" si="116"/>
        <v>N</v>
      </c>
      <c r="S142" t="s">
        <v>3504</v>
      </c>
      <c r="T142" t="str">
        <f t="shared" si="118"/>
        <v>N</v>
      </c>
      <c r="U142" s="6" t="s">
        <v>3505</v>
      </c>
      <c r="V142" s="6" t="str">
        <f t="shared" si="117"/>
        <v>N</v>
      </c>
      <c r="W142" s="6" t="s">
        <v>3506</v>
      </c>
    </row>
    <row r="143" spans="1:23" x14ac:dyDescent="0.4">
      <c r="A143" s="7"/>
      <c r="B143" s="7"/>
      <c r="C143" s="7"/>
      <c r="D143" s="7"/>
      <c r="E143" s="7"/>
      <c r="F143" s="7"/>
      <c r="G143" s="24"/>
      <c r="H143" s="5"/>
      <c r="I143" s="24"/>
      <c r="J143" s="5"/>
      <c r="K143" s="24"/>
      <c r="L143" s="5"/>
      <c r="M143" s="27"/>
      <c r="N143" s="5"/>
      <c r="P143" s="6" t="str">
        <f t="shared" si="115"/>
        <v>N</v>
      </c>
      <c r="Q143" t="s">
        <v>3507</v>
      </c>
      <c r="R143" t="str">
        <f t="shared" si="116"/>
        <v>N</v>
      </c>
      <c r="S143" t="s">
        <v>1963</v>
      </c>
      <c r="T143" t="str">
        <f t="shared" si="118"/>
        <v>N</v>
      </c>
      <c r="U143" s="6" t="s">
        <v>3508</v>
      </c>
      <c r="V143" s="6" t="str">
        <f t="shared" si="117"/>
        <v>N</v>
      </c>
      <c r="W143" s="6" t="s">
        <v>3129</v>
      </c>
    </row>
    <row r="144" spans="1:23" x14ac:dyDescent="0.4">
      <c r="A144" s="7"/>
      <c r="B144" s="7"/>
      <c r="C144" s="7"/>
      <c r="D144" s="7"/>
      <c r="E144" s="7"/>
      <c r="F144" s="7"/>
      <c r="G144" s="24"/>
      <c r="H144" s="5"/>
      <c r="I144" s="24"/>
      <c r="J144" s="5"/>
      <c r="K144" s="24"/>
      <c r="L144" s="5"/>
      <c r="M144" s="27"/>
      <c r="N144" s="5"/>
      <c r="P144" s="6" t="str">
        <f t="shared" si="115"/>
        <v>N</v>
      </c>
      <c r="Q144" t="s">
        <v>3509</v>
      </c>
      <c r="R144" t="str">
        <f t="shared" si="116"/>
        <v>N</v>
      </c>
      <c r="S144" t="s">
        <v>1975</v>
      </c>
      <c r="T144" t="str">
        <f t="shared" si="118"/>
        <v>N</v>
      </c>
      <c r="U144" s="6" t="s">
        <v>3510</v>
      </c>
      <c r="V144" s="6" t="str">
        <f t="shared" si="117"/>
        <v>N</v>
      </c>
      <c r="W144" s="6" t="s">
        <v>3511</v>
      </c>
    </row>
    <row r="145" spans="1:23" x14ac:dyDescent="0.4">
      <c r="A145" s="7"/>
      <c r="B145" s="7"/>
      <c r="C145" s="7"/>
      <c r="D145" s="7"/>
      <c r="E145" s="7"/>
      <c r="F145" s="7"/>
      <c r="G145" s="24"/>
      <c r="H145" s="5"/>
      <c r="I145" s="24"/>
      <c r="J145" s="5"/>
      <c r="K145" s="24"/>
      <c r="L145" s="5"/>
      <c r="M145" s="27"/>
      <c r="N145" s="5"/>
      <c r="P145" s="6" t="str">
        <f t="shared" si="115"/>
        <v>N</v>
      </c>
      <c r="Q145" t="s">
        <v>3512</v>
      </c>
      <c r="R145" t="str">
        <f t="shared" si="116"/>
        <v>N</v>
      </c>
      <c r="S145" t="s">
        <v>3513</v>
      </c>
      <c r="T145" t="str">
        <f t="shared" si="118"/>
        <v>N</v>
      </c>
      <c r="U145" s="6" t="s">
        <v>3514</v>
      </c>
      <c r="V145" s="6" t="str">
        <f t="shared" si="117"/>
        <v>N</v>
      </c>
      <c r="W145" s="6" t="s">
        <v>2952</v>
      </c>
    </row>
    <row r="146" spans="1:23" x14ac:dyDescent="0.4">
      <c r="A146" s="7"/>
      <c r="B146" s="7"/>
      <c r="C146" s="7"/>
      <c r="D146" s="7"/>
      <c r="E146" s="7"/>
      <c r="F146" s="7"/>
      <c r="G146" s="24"/>
      <c r="H146" s="5"/>
      <c r="I146" s="24"/>
      <c r="J146" s="5"/>
      <c r="K146" s="24"/>
      <c r="L146" s="5"/>
      <c r="M146" s="27"/>
      <c r="N146" s="5"/>
      <c r="P146" s="6" t="str">
        <f t="shared" si="115"/>
        <v>N</v>
      </c>
      <c r="Q146" t="s">
        <v>3515</v>
      </c>
      <c r="R146" t="str">
        <f t="shared" ref="R146:R148" si="119">IF(EXACT(S147,I146)=TRUE,"Y","N")</f>
        <v>N</v>
      </c>
      <c r="S146" t="s">
        <v>3516</v>
      </c>
      <c r="T146" t="str">
        <f t="shared" si="118"/>
        <v>N</v>
      </c>
      <c r="U146" s="6" t="s">
        <v>3517</v>
      </c>
      <c r="V146" s="6" t="str">
        <f t="shared" si="117"/>
        <v>N</v>
      </c>
      <c r="W146" s="6" t="s">
        <v>3406</v>
      </c>
    </row>
    <row r="147" spans="1:23" x14ac:dyDescent="0.4">
      <c r="A147" s="7"/>
      <c r="B147" s="7"/>
      <c r="C147" s="7"/>
      <c r="D147" s="7"/>
      <c r="E147" s="7"/>
      <c r="F147" s="7"/>
      <c r="G147" s="24"/>
      <c r="H147" s="5"/>
      <c r="I147" s="24"/>
      <c r="J147" s="5"/>
      <c r="K147" s="24"/>
      <c r="L147" s="5"/>
      <c r="M147" s="27"/>
      <c r="N147" s="5"/>
      <c r="P147" s="6" t="str">
        <f t="shared" si="115"/>
        <v>N</v>
      </c>
      <c r="Q147" t="s">
        <v>3518</v>
      </c>
      <c r="R147" t="str">
        <f t="shared" si="119"/>
        <v>N</v>
      </c>
      <c r="S147" t="s">
        <v>3519</v>
      </c>
      <c r="T147" t="str">
        <f t="shared" si="118"/>
        <v>N</v>
      </c>
      <c r="U147" s="6" t="s">
        <v>3520</v>
      </c>
      <c r="V147" s="6" t="str">
        <f t="shared" si="117"/>
        <v>N</v>
      </c>
      <c r="W147" s="6" t="s">
        <v>3521</v>
      </c>
    </row>
    <row r="148" spans="1:23" x14ac:dyDescent="0.4">
      <c r="A148" s="7"/>
      <c r="B148" s="7"/>
      <c r="C148" s="7"/>
      <c r="D148" s="7"/>
      <c r="E148" s="7"/>
      <c r="F148" s="7"/>
      <c r="G148" s="24"/>
      <c r="H148" s="5"/>
      <c r="I148" s="24"/>
      <c r="J148" s="5"/>
      <c r="K148" s="24"/>
      <c r="L148" s="5"/>
      <c r="M148" s="27"/>
      <c r="N148" s="5"/>
      <c r="P148" s="6" t="str">
        <f t="shared" si="115"/>
        <v>N</v>
      </c>
      <c r="Q148" t="s">
        <v>3522</v>
      </c>
      <c r="R148" t="str">
        <f t="shared" si="119"/>
        <v>N</v>
      </c>
      <c r="S148" t="s">
        <v>3523</v>
      </c>
      <c r="T148" t="str">
        <f t="shared" ref="T148:T179" si="120">IF(EXACT(U148,K148)=TRUE,"Y","N")</f>
        <v>N</v>
      </c>
      <c r="U148" s="6" t="s">
        <v>3524</v>
      </c>
      <c r="V148" s="6" t="str">
        <f t="shared" si="117"/>
        <v>N</v>
      </c>
      <c r="W148" s="6" t="s">
        <v>3525</v>
      </c>
    </row>
    <row r="149" spans="1:23" x14ac:dyDescent="0.4">
      <c r="A149" s="7"/>
      <c r="B149" s="7"/>
      <c r="C149" s="7"/>
      <c r="D149" s="7"/>
      <c r="E149" s="7"/>
      <c r="F149" s="7"/>
      <c r="G149" s="24"/>
      <c r="H149" s="5"/>
      <c r="I149" s="24"/>
      <c r="J149" s="5"/>
      <c r="K149" s="24"/>
      <c r="L149" s="5"/>
      <c r="M149" s="27"/>
      <c r="N149" s="5"/>
      <c r="P149" s="6" t="str">
        <f t="shared" si="115"/>
        <v>N</v>
      </c>
      <c r="Q149" t="s">
        <v>3526</v>
      </c>
      <c r="R149" t="str">
        <f t="shared" ref="R149:R212" si="121">IF(EXACT(S150,I149)=TRUE,"Y","N")</f>
        <v>N</v>
      </c>
      <c r="S149" t="s">
        <v>3527</v>
      </c>
      <c r="T149" t="str">
        <f t="shared" si="120"/>
        <v>N</v>
      </c>
      <c r="U149" s="6" t="s">
        <v>3528</v>
      </c>
      <c r="V149" s="6" t="str">
        <f t="shared" si="117"/>
        <v>N</v>
      </c>
      <c r="W149" s="6" t="s">
        <v>3529</v>
      </c>
    </row>
    <row r="150" spans="1:23" x14ac:dyDescent="0.4">
      <c r="A150" s="7"/>
      <c r="B150" s="7"/>
      <c r="C150" s="7"/>
      <c r="D150" s="7"/>
      <c r="E150" s="7"/>
      <c r="F150" s="7"/>
      <c r="G150" s="24"/>
      <c r="H150" s="5"/>
      <c r="I150" s="24"/>
      <c r="J150" s="5"/>
      <c r="K150" s="24"/>
      <c r="L150" s="5"/>
      <c r="M150" s="27"/>
      <c r="N150" s="5"/>
      <c r="P150" s="6" t="str">
        <f t="shared" si="115"/>
        <v>N</v>
      </c>
      <c r="Q150" t="s">
        <v>1569</v>
      </c>
      <c r="R150" t="str">
        <f t="shared" si="121"/>
        <v>N</v>
      </c>
      <c r="S150" t="s">
        <v>3530</v>
      </c>
      <c r="T150" t="str">
        <f t="shared" si="120"/>
        <v>N</v>
      </c>
      <c r="U150" s="6" t="s">
        <v>3531</v>
      </c>
      <c r="V150" s="6" t="str">
        <f t="shared" si="117"/>
        <v>N</v>
      </c>
      <c r="W150" s="6" t="s">
        <v>3532</v>
      </c>
    </row>
    <row r="151" spans="1:23" x14ac:dyDescent="0.4">
      <c r="A151" s="7"/>
      <c r="B151" s="7"/>
      <c r="C151" s="7"/>
      <c r="D151" s="7"/>
      <c r="E151" s="7"/>
      <c r="F151" s="7"/>
      <c r="G151" s="24"/>
      <c r="H151" s="5"/>
      <c r="I151" s="24"/>
      <c r="J151" s="5"/>
      <c r="K151" s="24"/>
      <c r="L151" s="5"/>
      <c r="M151" s="27"/>
      <c r="N151" s="5"/>
      <c r="P151" s="6" t="str">
        <f t="shared" si="115"/>
        <v>N</v>
      </c>
      <c r="Q151" t="s">
        <v>3533</v>
      </c>
      <c r="R151" t="str">
        <f t="shared" si="121"/>
        <v>N</v>
      </c>
      <c r="S151" t="s">
        <v>3534</v>
      </c>
      <c r="T151" t="str">
        <f t="shared" si="120"/>
        <v>N</v>
      </c>
      <c r="U151" s="6" t="s">
        <v>3535</v>
      </c>
      <c r="V151" s="6" t="str">
        <f t="shared" si="117"/>
        <v>N</v>
      </c>
      <c r="W151" s="6" t="s">
        <v>3536</v>
      </c>
    </row>
    <row r="152" spans="1:23" x14ac:dyDescent="0.4">
      <c r="A152" s="7"/>
      <c r="B152" s="7"/>
      <c r="C152" s="7"/>
      <c r="D152" s="7"/>
      <c r="E152" s="7"/>
      <c r="F152" s="7"/>
      <c r="G152" s="24"/>
      <c r="H152" s="5"/>
      <c r="I152" s="24"/>
      <c r="J152" s="5"/>
      <c r="K152" s="24"/>
      <c r="L152" s="5"/>
      <c r="M152" s="27"/>
      <c r="N152" s="5"/>
      <c r="P152" s="6" t="str">
        <f t="shared" si="115"/>
        <v>N</v>
      </c>
      <c r="Q152" t="s">
        <v>3537</v>
      </c>
      <c r="R152" t="str">
        <f t="shared" si="121"/>
        <v>N</v>
      </c>
      <c r="S152" t="s">
        <v>3538</v>
      </c>
      <c r="T152" t="str">
        <f t="shared" si="120"/>
        <v>N</v>
      </c>
      <c r="U152" s="6" t="s">
        <v>3539</v>
      </c>
      <c r="V152" s="6" t="str">
        <f t="shared" si="117"/>
        <v>N</v>
      </c>
      <c r="W152" s="6" t="s">
        <v>3540</v>
      </c>
    </row>
    <row r="153" spans="1:23" x14ac:dyDescent="0.4">
      <c r="A153" s="7"/>
      <c r="B153" s="7"/>
      <c r="C153" s="7"/>
      <c r="D153" s="7"/>
      <c r="E153" s="7"/>
      <c r="F153" s="7"/>
      <c r="G153" s="24"/>
      <c r="H153" s="5"/>
      <c r="I153" s="24"/>
      <c r="J153" s="5"/>
      <c r="K153" s="24"/>
      <c r="L153" s="5"/>
      <c r="M153" s="27"/>
      <c r="N153" s="5"/>
      <c r="P153" s="6" t="str">
        <f t="shared" si="115"/>
        <v>N</v>
      </c>
      <c r="Q153" t="s">
        <v>3541</v>
      </c>
      <c r="R153" t="str">
        <f t="shared" si="121"/>
        <v>N</v>
      </c>
      <c r="S153" t="s">
        <v>3542</v>
      </c>
      <c r="T153" t="str">
        <f t="shared" si="120"/>
        <v>N</v>
      </c>
      <c r="U153" s="6" t="s">
        <v>3543</v>
      </c>
      <c r="V153" s="6" t="str">
        <f t="shared" si="117"/>
        <v>N</v>
      </c>
      <c r="W153" s="6" t="s">
        <v>3544</v>
      </c>
    </row>
    <row r="154" spans="1:23" x14ac:dyDescent="0.4">
      <c r="A154" s="7"/>
      <c r="B154" s="7"/>
      <c r="C154" s="7"/>
      <c r="D154" s="7"/>
      <c r="E154" s="7"/>
      <c r="F154" s="7"/>
      <c r="G154" s="24"/>
      <c r="H154" s="5"/>
      <c r="I154" s="24"/>
      <c r="J154" s="5"/>
      <c r="K154" s="24"/>
      <c r="L154" s="5"/>
      <c r="M154" s="27"/>
      <c r="N154" s="5"/>
      <c r="P154" s="6" t="str">
        <f t="shared" si="115"/>
        <v>N</v>
      </c>
      <c r="Q154" t="s">
        <v>2535</v>
      </c>
      <c r="R154" t="str">
        <f t="shared" si="121"/>
        <v>N</v>
      </c>
      <c r="S154" t="s">
        <v>3545</v>
      </c>
      <c r="T154" t="str">
        <f t="shared" si="120"/>
        <v>N</v>
      </c>
      <c r="U154" s="6" t="s">
        <v>3546</v>
      </c>
      <c r="V154" s="6" t="str">
        <f t="shared" si="117"/>
        <v>N</v>
      </c>
      <c r="W154" s="6" t="s">
        <v>3547</v>
      </c>
    </row>
    <row r="155" spans="1:23" x14ac:dyDescent="0.4">
      <c r="A155" s="7"/>
      <c r="B155" s="7"/>
      <c r="C155" s="7"/>
      <c r="D155" s="7"/>
      <c r="E155" s="7"/>
      <c r="F155" s="7"/>
      <c r="G155" s="24"/>
      <c r="H155" s="5"/>
      <c r="I155" s="24"/>
      <c r="J155" s="5"/>
      <c r="K155" s="24"/>
      <c r="L155" s="5"/>
      <c r="M155" s="27"/>
      <c r="N155" s="5"/>
      <c r="P155" s="6" t="str">
        <f t="shared" si="115"/>
        <v>N</v>
      </c>
      <c r="Q155" t="s">
        <v>3548</v>
      </c>
      <c r="R155" t="str">
        <f t="shared" si="121"/>
        <v>N</v>
      </c>
      <c r="S155" t="s">
        <v>2580</v>
      </c>
      <c r="T155" t="str">
        <f t="shared" si="120"/>
        <v>N</v>
      </c>
      <c r="U155" t="s">
        <v>2424</v>
      </c>
      <c r="V155" s="6" t="str">
        <f t="shared" si="117"/>
        <v>N</v>
      </c>
      <c r="W155" t="s">
        <v>1159</v>
      </c>
    </row>
    <row r="156" spans="1:23" x14ac:dyDescent="0.4">
      <c r="A156" s="7"/>
      <c r="B156" s="7"/>
      <c r="C156" s="7"/>
      <c r="D156" s="7"/>
      <c r="E156" s="7"/>
      <c r="F156" s="7"/>
      <c r="G156" s="24"/>
      <c r="H156" s="5"/>
      <c r="I156" s="24"/>
      <c r="J156" s="5"/>
      <c r="K156" s="24"/>
      <c r="L156" s="5"/>
      <c r="M156" s="27"/>
      <c r="N156" s="5"/>
      <c r="P156" s="6" t="str">
        <f t="shared" si="115"/>
        <v>N</v>
      </c>
      <c r="Q156" t="s">
        <v>3549</v>
      </c>
      <c r="R156" t="str">
        <f t="shared" si="121"/>
        <v>N</v>
      </c>
      <c r="S156" t="s">
        <v>1684</v>
      </c>
      <c r="T156" t="str">
        <f t="shared" si="120"/>
        <v>N</v>
      </c>
      <c r="U156" t="s">
        <v>3550</v>
      </c>
      <c r="V156" s="6" t="str">
        <f t="shared" si="117"/>
        <v>N</v>
      </c>
      <c r="W156" t="s">
        <v>1071</v>
      </c>
    </row>
    <row r="157" spans="1:23" x14ac:dyDescent="0.4">
      <c r="A157" s="7"/>
      <c r="B157" s="7"/>
      <c r="C157" s="7"/>
      <c r="D157" s="7"/>
      <c r="E157" s="7"/>
      <c r="F157" s="7"/>
      <c r="G157" s="24"/>
      <c r="H157" s="5"/>
      <c r="I157" s="24"/>
      <c r="J157" s="5"/>
      <c r="K157" s="24"/>
      <c r="L157" s="5"/>
      <c r="M157" s="27"/>
      <c r="N157" s="5"/>
      <c r="P157" s="6" t="str">
        <f t="shared" si="115"/>
        <v>N</v>
      </c>
      <c r="Q157" t="s">
        <v>3551</v>
      </c>
      <c r="R157" t="str">
        <f t="shared" si="121"/>
        <v>N</v>
      </c>
      <c r="S157" t="s">
        <v>3552</v>
      </c>
      <c r="T157" t="str">
        <f t="shared" si="120"/>
        <v>N</v>
      </c>
      <c r="U157" t="s">
        <v>3553</v>
      </c>
      <c r="V157" s="6" t="str">
        <f t="shared" si="117"/>
        <v>N</v>
      </c>
      <c r="W157" t="s">
        <v>3554</v>
      </c>
    </row>
    <row r="158" spans="1:23" x14ac:dyDescent="0.4">
      <c r="A158" s="7"/>
      <c r="B158" s="7"/>
      <c r="C158" s="7"/>
      <c r="D158" s="7"/>
      <c r="E158" s="7"/>
      <c r="F158" s="7"/>
      <c r="G158" s="24"/>
      <c r="H158" s="5"/>
      <c r="I158" s="24"/>
      <c r="J158" s="5"/>
      <c r="K158" s="24"/>
      <c r="L158" s="5"/>
      <c r="M158" s="27"/>
      <c r="N158" s="5"/>
      <c r="P158" s="6" t="str">
        <f t="shared" si="115"/>
        <v>N</v>
      </c>
      <c r="Q158" t="s">
        <v>3555</v>
      </c>
      <c r="R158" t="str">
        <f t="shared" si="121"/>
        <v>N</v>
      </c>
      <c r="S158" t="s">
        <v>3556</v>
      </c>
      <c r="T158" t="str">
        <f t="shared" si="120"/>
        <v>N</v>
      </c>
      <c r="U158" t="s">
        <v>3557</v>
      </c>
      <c r="V158" s="6" t="str">
        <f t="shared" si="117"/>
        <v>N</v>
      </c>
      <c r="W158" t="s">
        <v>3558</v>
      </c>
    </row>
    <row r="159" spans="1:23" x14ac:dyDescent="0.4">
      <c r="A159" s="7"/>
      <c r="B159" s="7"/>
      <c r="C159" s="7"/>
      <c r="D159" s="7"/>
      <c r="E159" s="7"/>
      <c r="F159" s="7"/>
      <c r="G159" s="24"/>
      <c r="H159" s="5"/>
      <c r="I159" s="24"/>
      <c r="J159" s="5"/>
      <c r="K159" s="24"/>
      <c r="L159" s="5"/>
      <c r="M159" s="27"/>
      <c r="N159" s="5"/>
      <c r="P159" s="6" t="str">
        <f t="shared" si="115"/>
        <v>N</v>
      </c>
      <c r="Q159" t="s">
        <v>3559</v>
      </c>
      <c r="R159" t="str">
        <f t="shared" si="121"/>
        <v>N</v>
      </c>
      <c r="S159" t="s">
        <v>3560</v>
      </c>
      <c r="T159" t="str">
        <f t="shared" si="120"/>
        <v>N</v>
      </c>
      <c r="U159" t="s">
        <v>3561</v>
      </c>
      <c r="V159" s="6" t="str">
        <f t="shared" si="117"/>
        <v>N</v>
      </c>
      <c r="W159" t="s">
        <v>3562</v>
      </c>
    </row>
    <row r="160" spans="1:23" x14ac:dyDescent="0.4">
      <c r="A160" s="7"/>
      <c r="B160" s="7"/>
      <c r="C160" s="7"/>
      <c r="D160" s="7"/>
      <c r="E160" s="7"/>
      <c r="F160" s="7"/>
      <c r="G160" s="24"/>
      <c r="H160" s="5"/>
      <c r="I160" s="24"/>
      <c r="J160" s="5"/>
      <c r="K160" s="24"/>
      <c r="L160" s="5"/>
      <c r="M160" s="27"/>
      <c r="N160" s="5"/>
      <c r="P160" s="6" t="str">
        <f t="shared" si="115"/>
        <v>N</v>
      </c>
      <c r="Q160" t="s">
        <v>1939</v>
      </c>
      <c r="R160" t="str">
        <f t="shared" si="121"/>
        <v>N</v>
      </c>
      <c r="S160" t="s">
        <v>3563</v>
      </c>
      <c r="T160" t="str">
        <f t="shared" si="120"/>
        <v>N</v>
      </c>
      <c r="U160" t="s">
        <v>3564</v>
      </c>
      <c r="V160" s="6" t="str">
        <f t="shared" si="117"/>
        <v>N</v>
      </c>
      <c r="W160" t="s">
        <v>3565</v>
      </c>
    </row>
    <row r="161" spans="1:23" x14ac:dyDescent="0.4">
      <c r="A161" s="7"/>
      <c r="B161" s="7"/>
      <c r="C161" s="7"/>
      <c r="D161" s="7"/>
      <c r="E161" s="7"/>
      <c r="F161" s="7"/>
      <c r="H161" s="5"/>
      <c r="J161" s="5"/>
      <c r="L161" s="5"/>
      <c r="N161" s="5"/>
      <c r="P161" s="6" t="str">
        <f t="shared" si="115"/>
        <v>N</v>
      </c>
      <c r="Q161" t="s">
        <v>2512</v>
      </c>
      <c r="R161" t="str">
        <f t="shared" si="121"/>
        <v>N</v>
      </c>
      <c r="S161" t="s">
        <v>3566</v>
      </c>
      <c r="T161" t="str">
        <f t="shared" si="120"/>
        <v>N</v>
      </c>
      <c r="U161" t="s">
        <v>3567</v>
      </c>
      <c r="V161" s="6" t="str">
        <f t="shared" si="117"/>
        <v>N</v>
      </c>
      <c r="W161" t="s">
        <v>3568</v>
      </c>
    </row>
    <row r="162" spans="1:23" x14ac:dyDescent="0.4">
      <c r="A162" s="7"/>
      <c r="B162" s="7"/>
      <c r="C162" s="7"/>
      <c r="D162" s="7"/>
      <c r="E162" s="7"/>
      <c r="F162" s="7"/>
      <c r="H162" s="5"/>
      <c r="J162" s="5"/>
      <c r="L162" s="5"/>
      <c r="N162" s="5"/>
      <c r="P162" s="6" t="str">
        <f t="shared" si="115"/>
        <v>N</v>
      </c>
      <c r="Q162" t="s">
        <v>3569</v>
      </c>
      <c r="R162" t="str">
        <f t="shared" si="121"/>
        <v>N</v>
      </c>
      <c r="S162" t="s">
        <v>3570</v>
      </c>
      <c r="T162" t="str">
        <f t="shared" si="120"/>
        <v>N</v>
      </c>
      <c r="U162" t="s">
        <v>3571</v>
      </c>
      <c r="V162" s="6" t="str">
        <f t="shared" si="117"/>
        <v>N</v>
      </c>
      <c r="W162" t="s">
        <v>3572</v>
      </c>
    </row>
    <row r="163" spans="1:23" x14ac:dyDescent="0.4">
      <c r="A163" s="7"/>
      <c r="B163" s="7"/>
      <c r="C163" s="7"/>
      <c r="D163" s="7"/>
      <c r="E163" s="7"/>
      <c r="F163" s="7"/>
      <c r="H163" s="5"/>
      <c r="J163" s="5"/>
      <c r="L163" s="5"/>
      <c r="N163" s="5"/>
      <c r="P163" s="6" t="str">
        <f t="shared" si="115"/>
        <v>N</v>
      </c>
      <c r="Q163" t="s">
        <v>1745</v>
      </c>
      <c r="R163" t="str">
        <f t="shared" si="121"/>
        <v>N</v>
      </c>
      <c r="S163" t="s">
        <v>3573</v>
      </c>
      <c r="T163" t="str">
        <f t="shared" si="120"/>
        <v>N</v>
      </c>
      <c r="U163" t="s">
        <v>3574</v>
      </c>
      <c r="V163" s="6" t="str">
        <f t="shared" si="117"/>
        <v>N</v>
      </c>
      <c r="W163" t="s">
        <v>3575</v>
      </c>
    </row>
    <row r="164" spans="1:23" x14ac:dyDescent="0.4">
      <c r="A164" s="7"/>
      <c r="B164" s="7"/>
      <c r="C164" s="7"/>
      <c r="D164" s="7"/>
      <c r="E164" s="7"/>
      <c r="F164" s="7"/>
      <c r="H164" s="5"/>
      <c r="J164" s="5"/>
      <c r="L164" s="5"/>
      <c r="N164" s="5"/>
      <c r="P164" s="6" t="str">
        <f t="shared" si="115"/>
        <v>N</v>
      </c>
      <c r="Q164" t="s">
        <v>3576</v>
      </c>
      <c r="R164" t="str">
        <f t="shared" si="121"/>
        <v>N</v>
      </c>
      <c r="S164" t="s">
        <v>3577</v>
      </c>
      <c r="T164" t="str">
        <f t="shared" si="120"/>
        <v>N</v>
      </c>
      <c r="U164" t="s">
        <v>3578</v>
      </c>
      <c r="V164" s="6" t="str">
        <f t="shared" si="117"/>
        <v>N</v>
      </c>
      <c r="W164" t="s">
        <v>3579</v>
      </c>
    </row>
    <row r="165" spans="1:23" x14ac:dyDescent="0.4">
      <c r="A165" s="7"/>
      <c r="B165" s="7"/>
      <c r="C165" s="7"/>
      <c r="D165" s="7"/>
      <c r="E165" s="7"/>
      <c r="F165" s="7"/>
      <c r="H165" s="5"/>
      <c r="J165" s="5"/>
      <c r="L165" s="5"/>
      <c r="N165" s="5"/>
      <c r="P165" s="6" t="str">
        <f t="shared" si="115"/>
        <v>N</v>
      </c>
      <c r="Q165" t="s">
        <v>3580</v>
      </c>
      <c r="R165" t="str">
        <f t="shared" si="121"/>
        <v>N</v>
      </c>
      <c r="S165" t="s">
        <v>3581</v>
      </c>
      <c r="T165" t="str">
        <f t="shared" si="120"/>
        <v>N</v>
      </c>
      <c r="U165" t="s">
        <v>3582</v>
      </c>
      <c r="V165" s="6" t="str">
        <f t="shared" si="117"/>
        <v>N</v>
      </c>
      <c r="W165" t="s">
        <v>3583</v>
      </c>
    </row>
    <row r="166" spans="1:23" x14ac:dyDescent="0.4">
      <c r="A166" s="7"/>
      <c r="B166" s="7"/>
      <c r="C166" s="7"/>
      <c r="D166" s="7"/>
      <c r="E166" s="7"/>
      <c r="F166" s="7"/>
      <c r="H166" s="5"/>
      <c r="J166" s="5"/>
      <c r="L166" s="5"/>
      <c r="N166" s="5"/>
      <c r="P166" s="6" t="str">
        <f t="shared" si="115"/>
        <v>N</v>
      </c>
      <c r="Q166" t="s">
        <v>3584</v>
      </c>
      <c r="R166" t="str">
        <f t="shared" si="121"/>
        <v>N</v>
      </c>
      <c r="S166" t="s">
        <v>3585</v>
      </c>
      <c r="T166" t="str">
        <f t="shared" si="120"/>
        <v>N</v>
      </c>
      <c r="U166" t="s">
        <v>3586</v>
      </c>
      <c r="V166" s="6" t="str">
        <f t="shared" si="117"/>
        <v>N</v>
      </c>
      <c r="W166" t="s">
        <v>3587</v>
      </c>
    </row>
    <row r="167" spans="1:23" x14ac:dyDescent="0.4">
      <c r="A167" s="7"/>
      <c r="B167" s="7"/>
      <c r="C167" s="7"/>
      <c r="D167" s="7"/>
      <c r="E167" s="7"/>
      <c r="F167" s="7"/>
      <c r="H167" s="5"/>
      <c r="J167" s="5"/>
      <c r="L167" s="5"/>
      <c r="N167" s="5"/>
      <c r="P167" s="6" t="str">
        <f t="shared" si="115"/>
        <v>N</v>
      </c>
      <c r="Q167" t="s">
        <v>2501</v>
      </c>
      <c r="R167" t="str">
        <f t="shared" si="121"/>
        <v>N</v>
      </c>
      <c r="S167" t="s">
        <v>3588</v>
      </c>
      <c r="T167" t="str">
        <f t="shared" si="120"/>
        <v>N</v>
      </c>
      <c r="U167" t="s">
        <v>3589</v>
      </c>
      <c r="V167" s="6" t="str">
        <f t="shared" si="117"/>
        <v>N</v>
      </c>
      <c r="W167" t="s">
        <v>3590</v>
      </c>
    </row>
    <row r="168" spans="1:23" x14ac:dyDescent="0.4">
      <c r="A168" s="7"/>
      <c r="B168" s="7"/>
      <c r="C168" s="7"/>
      <c r="D168" s="7"/>
      <c r="E168" s="7"/>
      <c r="F168" s="7"/>
      <c r="H168" s="5"/>
      <c r="J168" s="5"/>
      <c r="L168" s="5"/>
      <c r="N168" s="5"/>
      <c r="P168" s="6" t="str">
        <f t="shared" si="115"/>
        <v>N</v>
      </c>
      <c r="Q168" t="s">
        <v>3591</v>
      </c>
      <c r="R168" t="str">
        <f t="shared" si="121"/>
        <v>N</v>
      </c>
      <c r="S168" t="s">
        <v>3592</v>
      </c>
      <c r="T168" t="str">
        <f t="shared" si="120"/>
        <v>N</v>
      </c>
      <c r="U168" t="s">
        <v>3593</v>
      </c>
      <c r="V168" s="6" t="str">
        <f t="shared" si="117"/>
        <v>N</v>
      </c>
      <c r="W168" t="s">
        <v>3594</v>
      </c>
    </row>
    <row r="169" spans="1:23" x14ac:dyDescent="0.4">
      <c r="A169" s="7"/>
      <c r="B169" s="7"/>
      <c r="C169" s="7"/>
      <c r="D169" s="7"/>
      <c r="E169" s="7"/>
      <c r="F169" s="7"/>
      <c r="H169" s="5"/>
      <c r="J169" s="5"/>
      <c r="L169" s="5"/>
      <c r="N169" s="5"/>
      <c r="P169" s="6" t="str">
        <f t="shared" si="115"/>
        <v>N</v>
      </c>
      <c r="Q169" t="s">
        <v>2750</v>
      </c>
      <c r="R169" t="str">
        <f t="shared" si="121"/>
        <v>N</v>
      </c>
      <c r="S169" t="s">
        <v>3595</v>
      </c>
      <c r="T169" t="str">
        <f t="shared" si="120"/>
        <v>N</v>
      </c>
      <c r="U169" t="s">
        <v>3596</v>
      </c>
      <c r="V169" s="6" t="str">
        <f t="shared" si="117"/>
        <v>N</v>
      </c>
      <c r="W169" t="s">
        <v>3597</v>
      </c>
    </row>
    <row r="170" spans="1:23" x14ac:dyDescent="0.4">
      <c r="A170" s="7"/>
      <c r="B170" s="7"/>
      <c r="C170" s="7"/>
      <c r="D170" s="7"/>
      <c r="E170" s="7"/>
      <c r="F170" s="7"/>
      <c r="H170" s="5"/>
      <c r="J170" s="5"/>
      <c r="L170" s="5"/>
      <c r="N170" s="5"/>
      <c r="P170" s="6" t="str">
        <f t="shared" si="115"/>
        <v>N</v>
      </c>
      <c r="Q170" t="s">
        <v>3598</v>
      </c>
      <c r="R170" t="str">
        <f t="shared" si="121"/>
        <v>N</v>
      </c>
      <c r="S170" t="s">
        <v>3599</v>
      </c>
      <c r="T170" t="str">
        <f t="shared" si="120"/>
        <v>N</v>
      </c>
      <c r="U170" t="s">
        <v>3600</v>
      </c>
      <c r="V170" s="6" t="str">
        <f t="shared" si="117"/>
        <v>N</v>
      </c>
      <c r="W170" t="s">
        <v>3601</v>
      </c>
    </row>
    <row r="171" spans="1:23" x14ac:dyDescent="0.4">
      <c r="A171" s="7"/>
      <c r="B171" s="7"/>
      <c r="C171" s="7"/>
      <c r="D171" s="7"/>
      <c r="E171" s="7"/>
      <c r="F171" s="7"/>
      <c r="H171" s="5"/>
      <c r="J171" s="5"/>
      <c r="L171" s="5"/>
      <c r="N171" s="5"/>
      <c r="P171" s="6" t="str">
        <f t="shared" si="115"/>
        <v>N</v>
      </c>
      <c r="Q171" t="s">
        <v>1995</v>
      </c>
      <c r="R171" t="str">
        <f t="shared" si="121"/>
        <v>N</v>
      </c>
      <c r="S171" t="s">
        <v>3602</v>
      </c>
      <c r="T171" t="str">
        <f t="shared" si="120"/>
        <v>N</v>
      </c>
      <c r="U171" t="s">
        <v>3603</v>
      </c>
      <c r="V171" s="6" t="str">
        <f t="shared" si="117"/>
        <v>N</v>
      </c>
      <c r="W171" t="s">
        <v>3604</v>
      </c>
    </row>
    <row r="172" spans="1:23" x14ac:dyDescent="0.4">
      <c r="A172" s="7"/>
      <c r="B172" s="7"/>
      <c r="C172" s="7"/>
      <c r="D172" s="7"/>
      <c r="E172" s="7"/>
      <c r="F172" s="7"/>
      <c r="H172" s="5"/>
      <c r="J172" s="5"/>
      <c r="L172" s="5"/>
      <c r="N172" s="5"/>
      <c r="P172" s="6" t="str">
        <f t="shared" si="115"/>
        <v>N</v>
      </c>
      <c r="Q172" t="s">
        <v>3605</v>
      </c>
      <c r="R172" t="str">
        <f t="shared" si="121"/>
        <v>N</v>
      </c>
      <c r="S172" t="s">
        <v>3606</v>
      </c>
      <c r="T172" t="str">
        <f t="shared" si="120"/>
        <v>N</v>
      </c>
      <c r="U172" t="s">
        <v>3607</v>
      </c>
      <c r="V172" s="6" t="str">
        <f t="shared" si="117"/>
        <v>N</v>
      </c>
      <c r="W172" t="s">
        <v>3608</v>
      </c>
    </row>
    <row r="173" spans="1:23" x14ac:dyDescent="0.4">
      <c r="A173" s="7"/>
      <c r="B173" s="7"/>
      <c r="C173" s="7"/>
      <c r="D173" s="7"/>
      <c r="E173" s="7"/>
      <c r="F173" s="7"/>
      <c r="H173" s="5"/>
      <c r="J173" s="5"/>
      <c r="L173" s="5"/>
      <c r="N173" s="5"/>
      <c r="P173" s="6" t="str">
        <f t="shared" si="115"/>
        <v>N</v>
      </c>
      <c r="Q173" t="s">
        <v>2485</v>
      </c>
      <c r="R173" t="str">
        <f t="shared" si="121"/>
        <v>N</v>
      </c>
      <c r="S173" t="s">
        <v>3609</v>
      </c>
      <c r="T173" t="str">
        <f t="shared" si="120"/>
        <v>N</v>
      </c>
      <c r="U173" t="s">
        <v>3610</v>
      </c>
      <c r="V173" s="6" t="str">
        <f t="shared" si="117"/>
        <v>N</v>
      </c>
      <c r="W173" t="s">
        <v>3611</v>
      </c>
    </row>
    <row r="174" spans="1:23" x14ac:dyDescent="0.4">
      <c r="A174" s="7"/>
      <c r="B174" s="7"/>
      <c r="C174" s="7"/>
      <c r="D174" s="7"/>
      <c r="E174" s="7"/>
      <c r="F174" s="7"/>
      <c r="H174" s="5"/>
      <c r="J174" s="5"/>
      <c r="L174" s="5"/>
      <c r="N174" s="5"/>
      <c r="P174" s="6" t="str">
        <f t="shared" si="115"/>
        <v>N</v>
      </c>
      <c r="Q174" t="s">
        <v>2832</v>
      </c>
      <c r="R174" t="str">
        <f t="shared" si="121"/>
        <v>N</v>
      </c>
      <c r="S174" t="s">
        <v>3612</v>
      </c>
      <c r="T174" t="str">
        <f t="shared" si="120"/>
        <v>N</v>
      </c>
      <c r="U174" t="s">
        <v>3613</v>
      </c>
      <c r="V174" s="6" t="str">
        <f t="shared" si="117"/>
        <v>N</v>
      </c>
      <c r="W174" t="s">
        <v>1094</v>
      </c>
    </row>
    <row r="175" spans="1:23" x14ac:dyDescent="0.4">
      <c r="A175" s="7"/>
      <c r="B175" s="7"/>
      <c r="C175" s="7"/>
      <c r="D175" s="7"/>
      <c r="E175" s="7"/>
      <c r="F175" s="7"/>
      <c r="H175" s="5"/>
      <c r="J175" s="5"/>
      <c r="L175" s="5"/>
      <c r="N175" s="5"/>
      <c r="P175" s="6" t="str">
        <f t="shared" si="115"/>
        <v>N</v>
      </c>
      <c r="Q175" t="s">
        <v>3614</v>
      </c>
      <c r="R175" t="str">
        <f t="shared" si="121"/>
        <v>N</v>
      </c>
      <c r="S175" t="s">
        <v>3615</v>
      </c>
      <c r="T175" t="str">
        <f t="shared" si="120"/>
        <v>N</v>
      </c>
      <c r="U175" t="s">
        <v>3616</v>
      </c>
      <c r="V175" s="6" t="str">
        <f t="shared" si="117"/>
        <v>N</v>
      </c>
      <c r="W175" t="s">
        <v>873</v>
      </c>
    </row>
    <row r="176" spans="1:23" x14ac:dyDescent="0.4">
      <c r="A176" s="7"/>
      <c r="B176" s="7"/>
      <c r="C176" s="7"/>
      <c r="D176" s="7"/>
      <c r="E176" s="7"/>
      <c r="F176" s="7"/>
      <c r="H176" s="5"/>
      <c r="J176" s="5"/>
      <c r="L176" s="5"/>
      <c r="N176" s="5"/>
      <c r="P176" s="6" t="str">
        <f t="shared" si="115"/>
        <v>N</v>
      </c>
      <c r="Q176" t="s">
        <v>1802</v>
      </c>
      <c r="R176" t="str">
        <f t="shared" si="121"/>
        <v>N</v>
      </c>
      <c r="S176" t="s">
        <v>3617</v>
      </c>
      <c r="T176" t="str">
        <f t="shared" si="120"/>
        <v>N</v>
      </c>
      <c r="U176" t="s">
        <v>3618</v>
      </c>
      <c r="V176" s="6" t="str">
        <f t="shared" si="117"/>
        <v>N</v>
      </c>
      <c r="W176" t="s">
        <v>3619</v>
      </c>
    </row>
    <row r="177" spans="1:23" x14ac:dyDescent="0.4">
      <c r="A177" s="7"/>
      <c r="B177" s="7"/>
      <c r="C177" s="7"/>
      <c r="D177" s="7"/>
      <c r="E177" s="7"/>
      <c r="F177" s="7"/>
      <c r="H177" s="5"/>
      <c r="J177" s="5"/>
      <c r="L177" s="5"/>
      <c r="N177" s="5"/>
      <c r="P177" s="6" t="str">
        <f t="shared" si="115"/>
        <v>N</v>
      </c>
      <c r="Q177" t="s">
        <v>3620</v>
      </c>
      <c r="R177" t="str">
        <f t="shared" si="121"/>
        <v>N</v>
      </c>
      <c r="S177" t="s">
        <v>3621</v>
      </c>
      <c r="T177" t="str">
        <f t="shared" si="120"/>
        <v>N</v>
      </c>
      <c r="U177" t="s">
        <v>3622</v>
      </c>
      <c r="V177" s="6" t="str">
        <f t="shared" si="117"/>
        <v>N</v>
      </c>
      <c r="W177" t="s">
        <v>3623</v>
      </c>
    </row>
    <row r="178" spans="1:23" x14ac:dyDescent="0.4">
      <c r="A178" s="7"/>
      <c r="B178" s="7"/>
      <c r="C178" s="7"/>
      <c r="D178" s="7"/>
      <c r="E178" s="7"/>
      <c r="F178" s="7"/>
      <c r="H178" s="5"/>
      <c r="J178" s="5"/>
      <c r="L178" s="5"/>
      <c r="N178" s="5"/>
      <c r="P178" s="6" t="str">
        <f t="shared" si="115"/>
        <v>N</v>
      </c>
      <c r="Q178" t="s">
        <v>3624</v>
      </c>
      <c r="R178" t="str">
        <f t="shared" si="121"/>
        <v>N</v>
      </c>
      <c r="S178" t="s">
        <v>3625</v>
      </c>
      <c r="T178" t="str">
        <f t="shared" si="120"/>
        <v>N</v>
      </c>
      <c r="U178" t="s">
        <v>3626</v>
      </c>
      <c r="V178" s="6" t="str">
        <f t="shared" si="117"/>
        <v>N</v>
      </c>
      <c r="W178" t="s">
        <v>3627</v>
      </c>
    </row>
    <row r="179" spans="1:23" x14ac:dyDescent="0.4">
      <c r="A179" s="7"/>
      <c r="B179" s="7"/>
      <c r="C179" s="7"/>
      <c r="D179" s="7"/>
      <c r="E179" s="7"/>
      <c r="F179" s="7"/>
      <c r="H179" s="5"/>
      <c r="J179" s="5"/>
      <c r="L179" s="5"/>
      <c r="N179" s="5"/>
      <c r="P179" s="6" t="str">
        <f t="shared" ref="P179:P242" si="122">IF(EXACT(Q179,W179)=TRUE,"Y","N")</f>
        <v>N</v>
      </c>
      <c r="Q179" t="s">
        <v>3628</v>
      </c>
      <c r="R179" t="str">
        <f t="shared" si="121"/>
        <v>N</v>
      </c>
      <c r="S179" t="s">
        <v>3629</v>
      </c>
      <c r="T179" t="str">
        <f t="shared" si="120"/>
        <v>N</v>
      </c>
      <c r="U179" t="s">
        <v>3630</v>
      </c>
      <c r="V179" s="6" t="str">
        <f t="shared" ref="V179:V242" si="123">IF(EXACT(W179,M179)=TRUE,"Y","N")</f>
        <v>N</v>
      </c>
      <c r="W179" t="s">
        <v>3147</v>
      </c>
    </row>
    <row r="180" spans="1:23" x14ac:dyDescent="0.4">
      <c r="A180" s="7"/>
      <c r="B180" s="7"/>
      <c r="C180" s="7"/>
      <c r="D180" s="7"/>
      <c r="E180" s="7"/>
      <c r="F180" s="7"/>
      <c r="H180" s="5"/>
      <c r="J180" s="5"/>
      <c r="L180" s="5"/>
      <c r="N180" s="5"/>
      <c r="P180" s="6" t="str">
        <f t="shared" si="122"/>
        <v>N</v>
      </c>
      <c r="Q180" t="s">
        <v>3631</v>
      </c>
      <c r="R180" t="str">
        <f t="shared" si="121"/>
        <v>N</v>
      </c>
      <c r="S180" t="s">
        <v>3632</v>
      </c>
      <c r="T180" t="str">
        <f t="shared" ref="T180:T211" si="124">IF(EXACT(U180,K180)=TRUE,"Y","N")</f>
        <v>N</v>
      </c>
      <c r="U180" t="s">
        <v>3633</v>
      </c>
      <c r="V180" s="6" t="str">
        <f t="shared" si="123"/>
        <v>N</v>
      </c>
      <c r="W180" t="s">
        <v>3634</v>
      </c>
    </row>
    <row r="181" spans="1:23" x14ac:dyDescent="0.4">
      <c r="A181" s="7"/>
      <c r="B181" s="7"/>
      <c r="C181" s="7"/>
      <c r="D181" s="7"/>
      <c r="E181" s="7"/>
      <c r="F181" s="7"/>
      <c r="H181" s="5"/>
      <c r="J181" s="5"/>
      <c r="L181" s="5"/>
      <c r="N181" s="5"/>
      <c r="P181" s="6" t="str">
        <f t="shared" si="122"/>
        <v>N</v>
      </c>
      <c r="Q181" t="s">
        <v>3635</v>
      </c>
      <c r="R181" t="str">
        <f t="shared" si="121"/>
        <v>N</v>
      </c>
      <c r="S181" t="s">
        <v>3636</v>
      </c>
      <c r="T181" t="str">
        <f t="shared" si="124"/>
        <v>N</v>
      </c>
      <c r="U181" t="s">
        <v>3637</v>
      </c>
      <c r="V181" s="6" t="str">
        <f t="shared" si="123"/>
        <v>N</v>
      </c>
      <c r="W181" t="s">
        <v>739</v>
      </c>
    </row>
    <row r="182" spans="1:23" x14ac:dyDescent="0.4">
      <c r="A182" s="7"/>
      <c r="B182" s="7"/>
      <c r="C182" s="7"/>
      <c r="D182" s="7"/>
      <c r="E182" s="7"/>
      <c r="F182" s="7"/>
      <c r="H182" s="5"/>
      <c r="J182" s="5"/>
      <c r="L182" s="5"/>
      <c r="N182" s="5"/>
      <c r="P182" s="6" t="str">
        <f t="shared" si="122"/>
        <v>N</v>
      </c>
      <c r="Q182" t="s">
        <v>3638</v>
      </c>
      <c r="R182" t="str">
        <f t="shared" si="121"/>
        <v>N</v>
      </c>
      <c r="S182" t="s">
        <v>3639</v>
      </c>
      <c r="T182" t="str">
        <f t="shared" si="124"/>
        <v>N</v>
      </c>
      <c r="U182" t="s">
        <v>3640</v>
      </c>
      <c r="V182" s="6" t="str">
        <f t="shared" si="123"/>
        <v>N</v>
      </c>
      <c r="W182" t="s">
        <v>3143</v>
      </c>
    </row>
    <row r="183" spans="1:23" x14ac:dyDescent="0.4">
      <c r="A183" s="7"/>
      <c r="B183" s="7"/>
      <c r="C183" s="7"/>
      <c r="D183" s="7"/>
      <c r="E183" s="7"/>
      <c r="F183" s="7"/>
      <c r="H183" s="5"/>
      <c r="J183" s="5"/>
      <c r="L183" s="5"/>
      <c r="N183" s="5"/>
      <c r="P183" s="6" t="str">
        <f t="shared" si="122"/>
        <v>N</v>
      </c>
      <c r="Q183" t="s">
        <v>3641</v>
      </c>
      <c r="R183" t="str">
        <f t="shared" si="121"/>
        <v>N</v>
      </c>
      <c r="S183" t="s">
        <v>3642</v>
      </c>
      <c r="T183" t="str">
        <f t="shared" si="124"/>
        <v>N</v>
      </c>
      <c r="U183" t="s">
        <v>3643</v>
      </c>
      <c r="V183" s="6" t="str">
        <f t="shared" si="123"/>
        <v>N</v>
      </c>
      <c r="W183" t="s">
        <v>342</v>
      </c>
    </row>
    <row r="184" spans="1:23" x14ac:dyDescent="0.4">
      <c r="A184" s="7"/>
      <c r="B184" s="7"/>
      <c r="C184" s="7"/>
      <c r="D184" s="7"/>
      <c r="E184" s="7"/>
      <c r="F184" s="7"/>
      <c r="H184" s="5"/>
      <c r="J184" s="5"/>
      <c r="L184" s="5"/>
      <c r="N184" s="5"/>
      <c r="P184" s="6" t="str">
        <f t="shared" si="122"/>
        <v>N</v>
      </c>
      <c r="Q184" t="s">
        <v>1672</v>
      </c>
      <c r="R184" t="str">
        <f t="shared" si="121"/>
        <v>N</v>
      </c>
      <c r="S184" t="s">
        <v>3644</v>
      </c>
      <c r="T184" t="str">
        <f t="shared" si="124"/>
        <v>N</v>
      </c>
      <c r="U184" t="s">
        <v>3645</v>
      </c>
      <c r="V184" s="6" t="str">
        <f t="shared" si="123"/>
        <v>N</v>
      </c>
      <c r="W184" t="s">
        <v>3265</v>
      </c>
    </row>
    <row r="185" spans="1:23" x14ac:dyDescent="0.4">
      <c r="A185" s="7"/>
      <c r="B185" s="7"/>
      <c r="C185" s="7"/>
      <c r="D185" s="7"/>
      <c r="E185" s="7"/>
      <c r="F185" s="7"/>
      <c r="H185" s="5"/>
      <c r="J185" s="5"/>
      <c r="L185" s="5"/>
      <c r="N185" s="5"/>
      <c r="P185" s="6" t="str">
        <f t="shared" si="122"/>
        <v>N</v>
      </c>
      <c r="Q185" t="s">
        <v>1953</v>
      </c>
      <c r="R185" t="str">
        <f t="shared" si="121"/>
        <v>N</v>
      </c>
      <c r="S185" t="s">
        <v>3646</v>
      </c>
      <c r="T185" t="str">
        <f t="shared" si="124"/>
        <v>N</v>
      </c>
      <c r="U185" t="s">
        <v>3647</v>
      </c>
      <c r="V185" s="6" t="str">
        <f t="shared" si="123"/>
        <v>N</v>
      </c>
      <c r="W185" t="s">
        <v>3648</v>
      </c>
    </row>
    <row r="186" spans="1:23" x14ac:dyDescent="0.4">
      <c r="A186" s="7"/>
      <c r="B186" s="7"/>
      <c r="C186" s="7"/>
      <c r="D186" s="7"/>
      <c r="E186" s="7"/>
      <c r="F186" s="7"/>
      <c r="H186" s="5"/>
      <c r="J186" s="5"/>
      <c r="L186" s="5"/>
      <c r="N186" s="5"/>
      <c r="P186" s="6" t="str">
        <f t="shared" si="122"/>
        <v>N</v>
      </c>
      <c r="Q186" t="s">
        <v>3649</v>
      </c>
      <c r="R186" t="str">
        <f t="shared" si="121"/>
        <v>N</v>
      </c>
      <c r="S186" t="s">
        <v>3650</v>
      </c>
      <c r="T186" t="str">
        <f t="shared" si="124"/>
        <v>N</v>
      </c>
      <c r="U186" t="s">
        <v>3651</v>
      </c>
      <c r="V186" s="6" t="str">
        <f t="shared" si="123"/>
        <v>N</v>
      </c>
      <c r="W186" t="s">
        <v>3264</v>
      </c>
    </row>
    <row r="187" spans="1:23" x14ac:dyDescent="0.4">
      <c r="A187" s="7"/>
      <c r="B187" s="7"/>
      <c r="C187" s="7"/>
      <c r="D187" s="7"/>
      <c r="E187" s="7"/>
      <c r="F187" s="7"/>
      <c r="H187" s="5"/>
      <c r="J187" s="5"/>
      <c r="L187" s="5"/>
      <c r="N187" s="5"/>
      <c r="P187" s="6" t="str">
        <f t="shared" si="122"/>
        <v>N</v>
      </c>
      <c r="Q187" t="s">
        <v>2553</v>
      </c>
      <c r="R187" t="str">
        <f t="shared" si="121"/>
        <v>N</v>
      </c>
      <c r="S187" t="s">
        <v>3652</v>
      </c>
      <c r="T187" t="str">
        <f t="shared" si="124"/>
        <v>N</v>
      </c>
      <c r="U187" t="s">
        <v>3653</v>
      </c>
      <c r="V187" s="6" t="str">
        <f t="shared" si="123"/>
        <v>N</v>
      </c>
      <c r="W187" t="s">
        <v>3654</v>
      </c>
    </row>
    <row r="188" spans="1:23" x14ac:dyDescent="0.4">
      <c r="A188" s="7"/>
      <c r="B188" s="7"/>
      <c r="C188" s="7"/>
      <c r="D188" s="7"/>
      <c r="E188" s="7"/>
      <c r="F188" s="7"/>
      <c r="H188" s="5"/>
      <c r="J188" s="5"/>
      <c r="L188" s="5"/>
      <c r="N188" s="5"/>
      <c r="P188" s="6" t="str">
        <f t="shared" si="122"/>
        <v>N</v>
      </c>
      <c r="Q188" t="s">
        <v>3655</v>
      </c>
      <c r="R188" t="str">
        <f t="shared" si="121"/>
        <v>N</v>
      </c>
      <c r="S188" t="s">
        <v>3656</v>
      </c>
      <c r="T188" t="str">
        <f t="shared" si="124"/>
        <v>N</v>
      </c>
      <c r="U188" t="s">
        <v>3657</v>
      </c>
      <c r="V188" s="6" t="str">
        <f t="shared" si="123"/>
        <v>N</v>
      </c>
      <c r="W188" t="s">
        <v>277</v>
      </c>
    </row>
    <row r="189" spans="1:23" x14ac:dyDescent="0.4">
      <c r="A189" s="7"/>
      <c r="B189" s="7"/>
      <c r="C189" s="7"/>
      <c r="D189" s="7"/>
      <c r="E189" s="7"/>
      <c r="F189" s="7"/>
      <c r="H189" s="5"/>
      <c r="J189" s="5"/>
      <c r="L189" s="5"/>
      <c r="N189" s="5"/>
      <c r="P189" s="6" t="str">
        <f t="shared" si="122"/>
        <v>N</v>
      </c>
      <c r="Q189" t="s">
        <v>3658</v>
      </c>
      <c r="R189" t="str">
        <f t="shared" si="121"/>
        <v>N</v>
      </c>
      <c r="S189" t="s">
        <v>3659</v>
      </c>
      <c r="T189" t="str">
        <f t="shared" si="124"/>
        <v>N</v>
      </c>
      <c r="U189" t="s">
        <v>3660</v>
      </c>
      <c r="V189" s="6" t="str">
        <f t="shared" si="123"/>
        <v>N</v>
      </c>
      <c r="W189" t="s">
        <v>3661</v>
      </c>
    </row>
    <row r="190" spans="1:23" x14ac:dyDescent="0.4">
      <c r="A190" s="7"/>
      <c r="B190" s="7"/>
      <c r="C190" s="7"/>
      <c r="D190" s="7"/>
      <c r="E190" s="7"/>
      <c r="F190" s="7"/>
      <c r="H190" s="5"/>
      <c r="J190" s="5"/>
      <c r="L190" s="5"/>
      <c r="N190" s="5"/>
      <c r="P190" s="6" t="str">
        <f t="shared" si="122"/>
        <v>N</v>
      </c>
      <c r="Q190" t="s">
        <v>3662</v>
      </c>
      <c r="R190" t="str">
        <f t="shared" si="121"/>
        <v>N</v>
      </c>
      <c r="S190" t="s">
        <v>3663</v>
      </c>
      <c r="T190" t="str">
        <f t="shared" si="124"/>
        <v>N</v>
      </c>
      <c r="U190" t="s">
        <v>3664</v>
      </c>
      <c r="V190" s="6" t="str">
        <f t="shared" si="123"/>
        <v>N</v>
      </c>
      <c r="W190" t="s">
        <v>2392</v>
      </c>
    </row>
    <row r="191" spans="1:23" x14ac:dyDescent="0.4">
      <c r="A191" s="7"/>
      <c r="B191" s="7"/>
      <c r="C191" s="7"/>
      <c r="D191" s="7"/>
      <c r="E191" s="7"/>
      <c r="F191" s="7"/>
      <c r="H191" s="5"/>
      <c r="J191" s="5"/>
      <c r="L191" s="5"/>
      <c r="N191" s="5"/>
      <c r="P191" s="6" t="str">
        <f t="shared" si="122"/>
        <v>N</v>
      </c>
      <c r="Q191" t="s">
        <v>3665</v>
      </c>
      <c r="R191" t="str">
        <f t="shared" si="121"/>
        <v>N</v>
      </c>
      <c r="S191" t="s">
        <v>3666</v>
      </c>
      <c r="T191" t="str">
        <f t="shared" si="124"/>
        <v>N</v>
      </c>
      <c r="U191" t="s">
        <v>3667</v>
      </c>
      <c r="V191" s="6" t="str">
        <f t="shared" si="123"/>
        <v>N</v>
      </c>
      <c r="W191" t="s">
        <v>3668</v>
      </c>
    </row>
    <row r="192" spans="1:23" x14ac:dyDescent="0.4">
      <c r="A192" s="7"/>
      <c r="B192" s="7"/>
      <c r="C192" s="7"/>
      <c r="D192" s="7"/>
      <c r="E192" s="7"/>
      <c r="F192" s="7"/>
      <c r="H192" s="5"/>
      <c r="J192" s="5"/>
      <c r="L192" s="5"/>
      <c r="N192" s="5"/>
      <c r="P192" s="6" t="str">
        <f t="shared" si="122"/>
        <v>N</v>
      </c>
      <c r="Q192" t="s">
        <v>3669</v>
      </c>
      <c r="R192" t="str">
        <f t="shared" si="121"/>
        <v>N</v>
      </c>
      <c r="S192" t="s">
        <v>3670</v>
      </c>
      <c r="T192" t="str">
        <f t="shared" si="124"/>
        <v>N</v>
      </c>
      <c r="U192" t="s">
        <v>3671</v>
      </c>
      <c r="V192" s="6" t="str">
        <f t="shared" si="123"/>
        <v>N</v>
      </c>
      <c r="W192" t="s">
        <v>3672</v>
      </c>
    </row>
    <row r="193" spans="1:23" x14ac:dyDescent="0.4">
      <c r="A193" s="7"/>
      <c r="B193" s="7"/>
      <c r="C193" s="7"/>
      <c r="D193" s="7"/>
      <c r="E193" s="7"/>
      <c r="F193" s="7"/>
      <c r="H193" s="5"/>
      <c r="J193" s="5"/>
      <c r="L193" s="5"/>
      <c r="N193" s="5"/>
      <c r="P193" s="6" t="str">
        <f t="shared" si="122"/>
        <v>N</v>
      </c>
      <c r="Q193" t="s">
        <v>3673</v>
      </c>
      <c r="R193" t="str">
        <f t="shared" si="121"/>
        <v>N</v>
      </c>
      <c r="S193" t="s">
        <v>3674</v>
      </c>
      <c r="T193" t="str">
        <f t="shared" si="124"/>
        <v>N</v>
      </c>
      <c r="U193" t="s">
        <v>3675</v>
      </c>
      <c r="V193" s="6" t="str">
        <f t="shared" si="123"/>
        <v>N</v>
      </c>
      <c r="W193" t="s">
        <v>1377</v>
      </c>
    </row>
    <row r="194" spans="1:23" x14ac:dyDescent="0.4">
      <c r="A194" s="7"/>
      <c r="B194" s="7"/>
      <c r="C194" s="7"/>
      <c r="D194" s="7"/>
      <c r="E194" s="7"/>
      <c r="F194" s="7"/>
      <c r="H194" s="5"/>
      <c r="J194" s="5"/>
      <c r="L194" s="5"/>
      <c r="N194" s="5"/>
      <c r="P194" s="6" t="str">
        <f t="shared" si="122"/>
        <v>N</v>
      </c>
      <c r="Q194" t="s">
        <v>3676</v>
      </c>
      <c r="R194" t="str">
        <f t="shared" si="121"/>
        <v>N</v>
      </c>
      <c r="S194" t="s">
        <v>3677</v>
      </c>
      <c r="T194" t="str">
        <f t="shared" si="124"/>
        <v>N</v>
      </c>
      <c r="U194" t="s">
        <v>3678</v>
      </c>
      <c r="V194" s="6" t="str">
        <f t="shared" si="123"/>
        <v>N</v>
      </c>
      <c r="W194" t="s">
        <v>3679</v>
      </c>
    </row>
    <row r="195" spans="1:23" x14ac:dyDescent="0.4">
      <c r="A195" s="7"/>
      <c r="B195" s="7"/>
      <c r="C195" s="7"/>
      <c r="D195" s="7"/>
      <c r="E195" s="7"/>
      <c r="F195" s="7"/>
      <c r="H195" s="5"/>
      <c r="J195" s="5"/>
      <c r="L195" s="5"/>
      <c r="N195" s="5"/>
      <c r="P195" s="6" t="str">
        <f t="shared" si="122"/>
        <v>N</v>
      </c>
      <c r="Q195" t="s">
        <v>3680</v>
      </c>
      <c r="R195" t="str">
        <f t="shared" si="121"/>
        <v>N</v>
      </c>
      <c r="S195" t="s">
        <v>3681</v>
      </c>
      <c r="T195" t="str">
        <f t="shared" si="124"/>
        <v>N</v>
      </c>
      <c r="U195" t="s">
        <v>3682</v>
      </c>
      <c r="V195" s="6" t="str">
        <f t="shared" si="123"/>
        <v>N</v>
      </c>
      <c r="W195" t="s">
        <v>3683</v>
      </c>
    </row>
    <row r="196" spans="1:23" x14ac:dyDescent="0.4">
      <c r="A196" s="7"/>
      <c r="B196" s="7"/>
      <c r="C196" s="7"/>
      <c r="D196" s="7"/>
      <c r="E196" s="7"/>
      <c r="F196" s="7"/>
      <c r="H196" s="5"/>
      <c r="J196" s="5"/>
      <c r="L196" s="5"/>
      <c r="N196" s="5"/>
      <c r="P196" s="6" t="str">
        <f t="shared" si="122"/>
        <v>N</v>
      </c>
      <c r="Q196" t="s">
        <v>3684</v>
      </c>
      <c r="R196" t="str">
        <f t="shared" si="121"/>
        <v>N</v>
      </c>
      <c r="S196" t="s">
        <v>3685</v>
      </c>
      <c r="T196" t="str">
        <f t="shared" si="124"/>
        <v>N</v>
      </c>
      <c r="U196" t="s">
        <v>3686</v>
      </c>
      <c r="V196" s="6" t="str">
        <f t="shared" si="123"/>
        <v>N</v>
      </c>
      <c r="W196" t="s">
        <v>3687</v>
      </c>
    </row>
    <row r="197" spans="1:23" x14ac:dyDescent="0.4">
      <c r="A197" s="7"/>
      <c r="B197" s="7"/>
      <c r="C197" s="7"/>
      <c r="D197" s="7"/>
      <c r="E197" s="7"/>
      <c r="F197" s="7"/>
      <c r="H197" s="5"/>
      <c r="J197" s="5"/>
      <c r="L197" s="5"/>
      <c r="N197" s="5"/>
      <c r="P197" s="6" t="str">
        <f t="shared" si="122"/>
        <v>N</v>
      </c>
      <c r="Q197" t="s">
        <v>2878</v>
      </c>
      <c r="R197" t="str">
        <f t="shared" si="121"/>
        <v>N</v>
      </c>
      <c r="S197" t="s">
        <v>3688</v>
      </c>
      <c r="T197" t="str">
        <f t="shared" si="124"/>
        <v>N</v>
      </c>
      <c r="U197" t="s">
        <v>3689</v>
      </c>
      <c r="V197" s="6" t="str">
        <f t="shared" si="123"/>
        <v>N</v>
      </c>
      <c r="W197" t="s">
        <v>3486</v>
      </c>
    </row>
    <row r="198" spans="1:23" x14ac:dyDescent="0.4">
      <c r="A198" s="7"/>
      <c r="B198" s="7"/>
      <c r="C198" s="7"/>
      <c r="D198" s="7"/>
      <c r="E198" s="7"/>
      <c r="F198" s="7"/>
      <c r="H198" s="5"/>
      <c r="J198" s="5"/>
      <c r="L198" s="5"/>
      <c r="N198" s="5"/>
      <c r="P198" s="6" t="str">
        <f t="shared" si="122"/>
        <v>N</v>
      </c>
      <c r="Q198" t="s">
        <v>3690</v>
      </c>
      <c r="R198" t="str">
        <f t="shared" si="121"/>
        <v>N</v>
      </c>
      <c r="S198" t="s">
        <v>3691</v>
      </c>
      <c r="T198" t="str">
        <f t="shared" si="124"/>
        <v>N</v>
      </c>
      <c r="U198" t="s">
        <v>3692</v>
      </c>
      <c r="V198" s="6" t="str">
        <f t="shared" si="123"/>
        <v>N</v>
      </c>
      <c r="W198" t="s">
        <v>3170</v>
      </c>
    </row>
    <row r="199" spans="1:23" x14ac:dyDescent="0.4">
      <c r="A199" s="7"/>
      <c r="B199" s="7"/>
      <c r="C199" s="7"/>
      <c r="D199" s="7"/>
      <c r="E199" s="7"/>
      <c r="F199" s="7"/>
      <c r="H199" s="5"/>
      <c r="J199" s="5"/>
      <c r="L199" s="5"/>
      <c r="N199" s="5"/>
      <c r="P199" s="6" t="str">
        <f t="shared" si="122"/>
        <v>N</v>
      </c>
      <c r="Q199" t="s">
        <v>3693</v>
      </c>
      <c r="R199" t="str">
        <f t="shared" si="121"/>
        <v>N</v>
      </c>
      <c r="S199" t="s">
        <v>3694</v>
      </c>
      <c r="T199" t="str">
        <f t="shared" si="124"/>
        <v>N</v>
      </c>
      <c r="U199" t="s">
        <v>3695</v>
      </c>
      <c r="V199" s="6" t="str">
        <f t="shared" si="123"/>
        <v>N</v>
      </c>
      <c r="W199" t="s">
        <v>598</v>
      </c>
    </row>
    <row r="200" spans="1:23" x14ac:dyDescent="0.4">
      <c r="A200" s="7"/>
      <c r="B200" s="7"/>
      <c r="C200" s="7"/>
      <c r="D200" s="7"/>
      <c r="E200" s="7"/>
      <c r="F200" s="7"/>
      <c r="H200" s="5"/>
      <c r="J200" s="5"/>
      <c r="L200" s="5"/>
      <c r="N200" s="5"/>
      <c r="P200" s="6" t="str">
        <f t="shared" si="122"/>
        <v>N</v>
      </c>
      <c r="Q200" t="s">
        <v>3696</v>
      </c>
      <c r="R200" t="str">
        <f t="shared" si="121"/>
        <v>N</v>
      </c>
      <c r="S200" t="s">
        <v>3697</v>
      </c>
      <c r="T200" t="str">
        <f t="shared" si="124"/>
        <v>N</v>
      </c>
      <c r="U200" t="s">
        <v>3698</v>
      </c>
      <c r="V200" s="6" t="str">
        <f t="shared" si="123"/>
        <v>N</v>
      </c>
      <c r="W200" t="s">
        <v>3456</v>
      </c>
    </row>
    <row r="201" spans="1:23" x14ac:dyDescent="0.4">
      <c r="A201" s="7"/>
      <c r="B201" s="7"/>
      <c r="C201" s="7"/>
      <c r="D201" s="7"/>
      <c r="E201" s="7"/>
      <c r="F201" s="7"/>
      <c r="H201" s="5"/>
      <c r="J201" s="5"/>
      <c r="L201" s="5"/>
      <c r="N201" s="5"/>
      <c r="P201" s="6" t="str">
        <f t="shared" si="122"/>
        <v>N</v>
      </c>
      <c r="Q201" t="s">
        <v>3699</v>
      </c>
      <c r="R201" t="str">
        <f t="shared" si="121"/>
        <v>N</v>
      </c>
      <c r="S201" t="s">
        <v>3700</v>
      </c>
      <c r="T201" t="str">
        <f t="shared" si="124"/>
        <v>N</v>
      </c>
      <c r="U201" t="s">
        <v>3701</v>
      </c>
      <c r="V201" s="6" t="str">
        <f t="shared" si="123"/>
        <v>N</v>
      </c>
      <c r="W201" t="s">
        <v>3702</v>
      </c>
    </row>
    <row r="202" spans="1:23" x14ac:dyDescent="0.4">
      <c r="A202" s="7"/>
      <c r="B202" s="7"/>
      <c r="C202" s="7"/>
      <c r="D202" s="7"/>
      <c r="E202" s="7"/>
      <c r="F202" s="7"/>
      <c r="H202" s="5"/>
      <c r="J202" s="5"/>
      <c r="L202" s="5"/>
      <c r="N202" s="5"/>
      <c r="P202" s="6" t="str">
        <f t="shared" si="122"/>
        <v>N</v>
      </c>
      <c r="Q202" t="s">
        <v>3703</v>
      </c>
      <c r="R202" t="str">
        <f t="shared" si="121"/>
        <v>N</v>
      </c>
      <c r="S202" t="s">
        <v>3704</v>
      </c>
      <c r="T202" t="str">
        <f t="shared" si="124"/>
        <v>N</v>
      </c>
      <c r="U202" t="s">
        <v>3705</v>
      </c>
      <c r="V202" s="6" t="str">
        <f t="shared" si="123"/>
        <v>N</v>
      </c>
      <c r="W202" t="s">
        <v>3136</v>
      </c>
    </row>
    <row r="203" spans="1:23" x14ac:dyDescent="0.4">
      <c r="A203" s="7"/>
      <c r="B203" s="7"/>
      <c r="C203" s="7"/>
      <c r="D203" s="7"/>
      <c r="E203" s="7"/>
      <c r="F203" s="7"/>
      <c r="H203" s="5"/>
      <c r="J203" s="5"/>
      <c r="L203" s="5"/>
      <c r="N203" s="5"/>
      <c r="P203" s="6" t="str">
        <f t="shared" si="122"/>
        <v>N</v>
      </c>
      <c r="Q203" t="s">
        <v>3706</v>
      </c>
      <c r="R203" t="str">
        <f t="shared" si="121"/>
        <v>N</v>
      </c>
      <c r="S203" t="s">
        <v>3707</v>
      </c>
      <c r="T203" t="str">
        <f t="shared" si="124"/>
        <v>N</v>
      </c>
      <c r="U203" t="s">
        <v>3708</v>
      </c>
      <c r="V203" s="6" t="str">
        <f t="shared" si="123"/>
        <v>N</v>
      </c>
      <c r="W203" t="s">
        <v>3709</v>
      </c>
    </row>
    <row r="204" spans="1:23" x14ac:dyDescent="0.4">
      <c r="A204" s="7"/>
      <c r="B204" s="7"/>
      <c r="C204" s="7"/>
      <c r="D204" s="7"/>
      <c r="E204" s="7"/>
      <c r="F204" s="7"/>
      <c r="H204" s="5"/>
      <c r="J204" s="5"/>
      <c r="L204" s="5"/>
      <c r="N204" s="5"/>
      <c r="P204" s="6" t="str">
        <f t="shared" si="122"/>
        <v>N</v>
      </c>
      <c r="Q204" t="s">
        <v>3710</v>
      </c>
      <c r="R204" t="str">
        <f t="shared" si="121"/>
        <v>N</v>
      </c>
      <c r="S204" t="s">
        <v>3711</v>
      </c>
      <c r="T204" t="str">
        <f t="shared" si="124"/>
        <v>N</v>
      </c>
      <c r="U204" t="s">
        <v>3712</v>
      </c>
      <c r="V204" s="6" t="str">
        <f t="shared" si="123"/>
        <v>N</v>
      </c>
      <c r="W204" t="s">
        <v>3713</v>
      </c>
    </row>
    <row r="205" spans="1:23" x14ac:dyDescent="0.4">
      <c r="A205" s="7"/>
      <c r="B205" s="7"/>
      <c r="C205" s="7"/>
      <c r="D205" s="7"/>
      <c r="E205" s="7"/>
      <c r="F205" s="7"/>
      <c r="H205" s="5"/>
      <c r="J205" s="5"/>
      <c r="L205" s="5"/>
      <c r="N205" s="5"/>
      <c r="P205" s="6" t="str">
        <f t="shared" si="122"/>
        <v>N</v>
      </c>
      <c r="Q205" t="s">
        <v>3714</v>
      </c>
      <c r="R205" t="str">
        <f t="shared" si="121"/>
        <v>N</v>
      </c>
      <c r="S205" t="s">
        <v>3715</v>
      </c>
      <c r="T205" t="str">
        <f t="shared" si="124"/>
        <v>N</v>
      </c>
      <c r="U205" t="s">
        <v>3716</v>
      </c>
      <c r="V205" s="6" t="str">
        <f t="shared" si="123"/>
        <v>N</v>
      </c>
      <c r="W205" t="s">
        <v>3717</v>
      </c>
    </row>
    <row r="206" spans="1:23" x14ac:dyDescent="0.4">
      <c r="A206" s="7"/>
      <c r="B206" s="7"/>
      <c r="C206" s="7"/>
      <c r="D206" s="7"/>
      <c r="E206" s="7"/>
      <c r="F206" s="7"/>
      <c r="H206" s="5"/>
      <c r="J206" s="5"/>
      <c r="L206" s="5"/>
      <c r="N206" s="5"/>
      <c r="P206" s="6" t="str">
        <f t="shared" si="122"/>
        <v>N</v>
      </c>
      <c r="Q206" t="s">
        <v>3718</v>
      </c>
      <c r="R206" t="str">
        <f t="shared" si="121"/>
        <v>N</v>
      </c>
      <c r="S206" t="s">
        <v>3719</v>
      </c>
      <c r="T206" t="str">
        <f t="shared" si="124"/>
        <v>N</v>
      </c>
      <c r="U206" t="s">
        <v>3720</v>
      </c>
      <c r="V206" s="6" t="str">
        <f t="shared" si="123"/>
        <v>N</v>
      </c>
      <c r="W206" t="s">
        <v>3102</v>
      </c>
    </row>
    <row r="207" spans="1:23" x14ac:dyDescent="0.4">
      <c r="A207" s="7"/>
      <c r="B207" s="7"/>
      <c r="C207" s="7"/>
      <c r="D207" s="7"/>
      <c r="E207" s="7"/>
      <c r="F207" s="7"/>
      <c r="H207" s="5"/>
      <c r="J207" s="5"/>
      <c r="L207" s="5"/>
      <c r="N207" s="5"/>
      <c r="P207" s="6" t="str">
        <f t="shared" si="122"/>
        <v>N</v>
      </c>
      <c r="Q207" t="s">
        <v>3721</v>
      </c>
      <c r="R207" t="str">
        <f t="shared" si="121"/>
        <v>N</v>
      </c>
      <c r="S207" t="s">
        <v>3722</v>
      </c>
      <c r="T207" t="str">
        <f t="shared" si="124"/>
        <v>N</v>
      </c>
      <c r="U207" t="s">
        <v>3723</v>
      </c>
      <c r="V207" s="6" t="str">
        <f t="shared" si="123"/>
        <v>N</v>
      </c>
      <c r="W207" t="s">
        <v>3724</v>
      </c>
    </row>
    <row r="208" spans="1:23" x14ac:dyDescent="0.4">
      <c r="A208" s="7"/>
      <c r="B208" s="7"/>
      <c r="C208" s="7"/>
      <c r="D208" s="7"/>
      <c r="E208" s="7"/>
      <c r="F208" s="7"/>
      <c r="H208" s="5"/>
      <c r="J208" s="5"/>
      <c r="L208" s="5"/>
      <c r="N208" s="5"/>
      <c r="P208" s="6" t="str">
        <f t="shared" si="122"/>
        <v>N</v>
      </c>
      <c r="Q208" t="s">
        <v>3725</v>
      </c>
      <c r="R208" t="str">
        <f t="shared" si="121"/>
        <v>N</v>
      </c>
      <c r="S208" t="s">
        <v>3726</v>
      </c>
      <c r="T208" t="str">
        <f t="shared" si="124"/>
        <v>N</v>
      </c>
      <c r="U208" t="s">
        <v>3727</v>
      </c>
      <c r="V208" s="6" t="str">
        <f t="shared" si="123"/>
        <v>N</v>
      </c>
      <c r="W208" t="s">
        <v>157</v>
      </c>
    </row>
    <row r="209" spans="1:23" x14ac:dyDescent="0.4">
      <c r="A209" s="7"/>
      <c r="B209" s="7"/>
      <c r="C209" s="7"/>
      <c r="D209" s="7"/>
      <c r="E209" s="7"/>
      <c r="F209" s="7"/>
      <c r="H209" s="5"/>
      <c r="J209" s="5"/>
      <c r="L209" s="5"/>
      <c r="N209" s="5"/>
      <c r="P209" s="6" t="str">
        <f t="shared" si="122"/>
        <v>N</v>
      </c>
      <c r="Q209" t="s">
        <v>3728</v>
      </c>
      <c r="R209" t="str">
        <f t="shared" si="121"/>
        <v>N</v>
      </c>
      <c r="S209" t="s">
        <v>3729</v>
      </c>
      <c r="T209" t="str">
        <f t="shared" si="124"/>
        <v>N</v>
      </c>
      <c r="U209" t="s">
        <v>3730</v>
      </c>
      <c r="V209" s="6" t="str">
        <f t="shared" si="123"/>
        <v>N</v>
      </c>
      <c r="W209" t="s">
        <v>3731</v>
      </c>
    </row>
    <row r="210" spans="1:23" x14ac:dyDescent="0.4">
      <c r="A210" s="7"/>
      <c r="B210" s="7"/>
      <c r="C210" s="7"/>
      <c r="D210" s="7"/>
      <c r="E210" s="7"/>
      <c r="F210" s="7"/>
      <c r="H210" s="5"/>
      <c r="J210" s="5"/>
      <c r="L210" s="5"/>
      <c r="N210" s="5"/>
      <c r="P210" s="6" t="str">
        <f t="shared" si="122"/>
        <v>N</v>
      </c>
      <c r="Q210" t="s">
        <v>3732</v>
      </c>
      <c r="R210" t="str">
        <f t="shared" si="121"/>
        <v>N</v>
      </c>
      <c r="S210" t="s">
        <v>3733</v>
      </c>
      <c r="T210" t="str">
        <f t="shared" si="124"/>
        <v>N</v>
      </c>
      <c r="U210" t="s">
        <v>3734</v>
      </c>
      <c r="V210" s="6" t="str">
        <f t="shared" si="123"/>
        <v>N</v>
      </c>
      <c r="W210" t="s">
        <v>3735</v>
      </c>
    </row>
    <row r="211" spans="1:23" x14ac:dyDescent="0.4">
      <c r="A211" s="7"/>
      <c r="B211" s="7"/>
      <c r="C211" s="7"/>
      <c r="D211" s="7"/>
      <c r="E211" s="7"/>
      <c r="F211" s="7"/>
      <c r="H211" s="5"/>
      <c r="J211" s="5"/>
      <c r="L211" s="5"/>
      <c r="N211" s="5"/>
      <c r="P211" s="6" t="str">
        <f t="shared" si="122"/>
        <v>N</v>
      </c>
      <c r="Q211" t="s">
        <v>3736</v>
      </c>
      <c r="R211" t="str">
        <f t="shared" si="121"/>
        <v>N</v>
      </c>
      <c r="S211" t="s">
        <v>3737</v>
      </c>
      <c r="T211" t="str">
        <f t="shared" si="124"/>
        <v>N</v>
      </c>
      <c r="U211" t="s">
        <v>3738</v>
      </c>
      <c r="V211" s="6" t="str">
        <f t="shared" si="123"/>
        <v>N</v>
      </c>
      <c r="W211" t="s">
        <v>610</v>
      </c>
    </row>
    <row r="212" spans="1:23" x14ac:dyDescent="0.4">
      <c r="A212" s="7"/>
      <c r="B212" s="7"/>
      <c r="C212" s="7"/>
      <c r="D212" s="7"/>
      <c r="E212" s="7"/>
      <c r="F212" s="7"/>
      <c r="H212" s="5"/>
      <c r="J212" s="5"/>
      <c r="L212" s="5"/>
      <c r="N212" s="5"/>
      <c r="P212" s="6" t="str">
        <f t="shared" si="122"/>
        <v>N</v>
      </c>
      <c r="Q212" t="s">
        <v>2205</v>
      </c>
      <c r="R212" t="str">
        <f t="shared" si="121"/>
        <v>N</v>
      </c>
      <c r="S212" t="s">
        <v>3739</v>
      </c>
      <c r="T212" t="str">
        <f t="shared" ref="T212:T243" si="125">IF(EXACT(U212,K212)=TRUE,"Y","N")</f>
        <v>N</v>
      </c>
      <c r="U212" t="s">
        <v>3740</v>
      </c>
      <c r="V212" s="6" t="str">
        <f t="shared" si="123"/>
        <v>N</v>
      </c>
      <c r="W212" t="s">
        <v>3741</v>
      </c>
    </row>
    <row r="213" spans="1:23" x14ac:dyDescent="0.4">
      <c r="A213" s="7"/>
      <c r="B213" s="7"/>
      <c r="C213" s="7"/>
      <c r="D213" s="7"/>
      <c r="E213" s="7"/>
      <c r="F213" s="7"/>
      <c r="H213" s="5"/>
      <c r="J213" s="5"/>
      <c r="L213" s="5"/>
      <c r="N213" s="5"/>
      <c r="P213" s="6" t="str">
        <f t="shared" si="122"/>
        <v>N</v>
      </c>
      <c r="Q213" t="s">
        <v>3742</v>
      </c>
      <c r="R213" t="str">
        <f t="shared" ref="R213:R276" si="126">IF(EXACT(S214,I213)=TRUE,"Y","N")</f>
        <v>N</v>
      </c>
      <c r="S213" t="s">
        <v>3743</v>
      </c>
      <c r="T213" t="str">
        <f t="shared" si="125"/>
        <v>N</v>
      </c>
      <c r="U213" t="s">
        <v>3744</v>
      </c>
      <c r="V213" s="6" t="str">
        <f t="shared" si="123"/>
        <v>N</v>
      </c>
      <c r="W213" t="s">
        <v>3283</v>
      </c>
    </row>
    <row r="214" spans="1:23" x14ac:dyDescent="0.4">
      <c r="A214" s="7"/>
      <c r="B214" s="7"/>
      <c r="C214" s="7"/>
      <c r="D214" s="7"/>
      <c r="E214" s="7"/>
      <c r="F214" s="7"/>
      <c r="H214" s="5"/>
      <c r="J214" s="5"/>
      <c r="L214" s="5"/>
      <c r="N214" s="5"/>
      <c r="P214" s="6" t="str">
        <f t="shared" si="122"/>
        <v>N</v>
      </c>
      <c r="Q214" t="s">
        <v>3745</v>
      </c>
      <c r="R214" t="str">
        <f t="shared" si="126"/>
        <v>N</v>
      </c>
      <c r="S214" t="s">
        <v>3746</v>
      </c>
      <c r="T214" t="str">
        <f t="shared" si="125"/>
        <v>N</v>
      </c>
      <c r="U214" t="s">
        <v>3747</v>
      </c>
      <c r="V214" s="6" t="str">
        <f t="shared" si="123"/>
        <v>N</v>
      </c>
      <c r="W214" t="s">
        <v>3748</v>
      </c>
    </row>
    <row r="215" spans="1:23" x14ac:dyDescent="0.4">
      <c r="A215" s="7"/>
      <c r="B215" s="7"/>
      <c r="C215" s="7"/>
      <c r="D215" s="7"/>
      <c r="E215" s="7"/>
      <c r="F215" s="7"/>
      <c r="H215" s="5"/>
      <c r="J215" s="5"/>
      <c r="L215" s="5"/>
      <c r="N215" s="5"/>
      <c r="P215" s="6" t="str">
        <f t="shared" si="122"/>
        <v>N</v>
      </c>
      <c r="Q215" t="s">
        <v>1896</v>
      </c>
      <c r="R215" t="str">
        <f t="shared" si="126"/>
        <v>N</v>
      </c>
      <c r="S215" t="s">
        <v>3749</v>
      </c>
      <c r="T215" t="str">
        <f t="shared" si="125"/>
        <v>N</v>
      </c>
      <c r="U215" t="s">
        <v>3750</v>
      </c>
      <c r="V215" s="6" t="str">
        <f t="shared" si="123"/>
        <v>N</v>
      </c>
      <c r="W215" t="s">
        <v>977</v>
      </c>
    </row>
    <row r="216" spans="1:23" x14ac:dyDescent="0.4">
      <c r="A216" s="7"/>
      <c r="B216" s="7"/>
      <c r="C216" s="7"/>
      <c r="D216" s="7"/>
      <c r="E216" s="7"/>
      <c r="F216" s="7"/>
      <c r="H216" s="5"/>
      <c r="J216" s="5"/>
      <c r="L216" s="5"/>
      <c r="N216" s="5"/>
      <c r="P216" s="6" t="str">
        <f t="shared" si="122"/>
        <v>N</v>
      </c>
      <c r="Q216" t="s">
        <v>3751</v>
      </c>
      <c r="R216" t="str">
        <f t="shared" si="126"/>
        <v>N</v>
      </c>
      <c r="S216" t="s">
        <v>3752</v>
      </c>
      <c r="T216" t="str">
        <f t="shared" si="125"/>
        <v>N</v>
      </c>
      <c r="U216" t="s">
        <v>3753</v>
      </c>
      <c r="V216" s="6" t="str">
        <f t="shared" si="123"/>
        <v>N</v>
      </c>
      <c r="W216" t="s">
        <v>3754</v>
      </c>
    </row>
    <row r="217" spans="1:23" x14ac:dyDescent="0.4">
      <c r="A217" s="7"/>
      <c r="B217" s="7"/>
      <c r="C217" s="7"/>
      <c r="D217" s="7"/>
      <c r="E217" s="7"/>
      <c r="F217" s="7"/>
      <c r="H217" s="5"/>
      <c r="J217" s="5"/>
      <c r="L217" s="5"/>
      <c r="N217" s="5"/>
      <c r="P217" s="6" t="str">
        <f t="shared" si="122"/>
        <v>N</v>
      </c>
      <c r="Q217" t="s">
        <v>5749</v>
      </c>
      <c r="R217" t="str">
        <f t="shared" si="126"/>
        <v>N</v>
      </c>
      <c r="S217" t="s">
        <v>3755</v>
      </c>
      <c r="T217" t="str">
        <f t="shared" si="125"/>
        <v>N</v>
      </c>
      <c r="U217" t="s">
        <v>3756</v>
      </c>
      <c r="V217" s="6" t="str">
        <f t="shared" si="123"/>
        <v>N</v>
      </c>
      <c r="W217" t="s">
        <v>1429</v>
      </c>
    </row>
    <row r="218" spans="1:23" x14ac:dyDescent="0.4">
      <c r="A218" s="7"/>
      <c r="B218" s="7"/>
      <c r="C218" s="7"/>
      <c r="D218" s="7"/>
      <c r="E218" s="7"/>
      <c r="F218" s="7"/>
      <c r="H218" s="5"/>
      <c r="J218" s="5"/>
      <c r="L218" s="5"/>
      <c r="N218" s="5"/>
      <c r="P218" s="6" t="str">
        <f t="shared" si="122"/>
        <v>N</v>
      </c>
      <c r="Q218" t="s">
        <v>3757</v>
      </c>
      <c r="R218" t="str">
        <f t="shared" si="126"/>
        <v>N</v>
      </c>
      <c r="S218" t="s">
        <v>3758</v>
      </c>
      <c r="T218" t="str">
        <f t="shared" si="125"/>
        <v>N</v>
      </c>
      <c r="U218" t="s">
        <v>3759</v>
      </c>
      <c r="V218" s="6" t="str">
        <f t="shared" si="123"/>
        <v>N</v>
      </c>
      <c r="W218" t="s">
        <v>3760</v>
      </c>
    </row>
    <row r="219" spans="1:23" x14ac:dyDescent="0.4">
      <c r="A219" s="7"/>
      <c r="B219" s="7"/>
      <c r="C219" s="7"/>
      <c r="D219" s="7"/>
      <c r="E219" s="7"/>
      <c r="F219" s="7"/>
      <c r="H219" s="5"/>
      <c r="J219" s="5"/>
      <c r="L219" s="5"/>
      <c r="N219" s="5"/>
      <c r="P219" s="6" t="str">
        <f t="shared" si="122"/>
        <v>N</v>
      </c>
      <c r="Q219" t="s">
        <v>3761</v>
      </c>
      <c r="R219" t="str">
        <f t="shared" si="126"/>
        <v>N</v>
      </c>
      <c r="S219" t="s">
        <v>3762</v>
      </c>
      <c r="T219" t="str">
        <f t="shared" si="125"/>
        <v>N</v>
      </c>
      <c r="U219" t="s">
        <v>3763</v>
      </c>
      <c r="V219" s="6" t="str">
        <f t="shared" si="123"/>
        <v>N</v>
      </c>
      <c r="W219" t="s">
        <v>3308</v>
      </c>
    </row>
    <row r="220" spans="1:23" x14ac:dyDescent="0.4">
      <c r="A220" s="7"/>
      <c r="B220" s="7"/>
      <c r="C220" s="7"/>
      <c r="D220" s="7"/>
      <c r="E220" s="7"/>
      <c r="F220" s="7"/>
      <c r="H220" s="5"/>
      <c r="J220" s="5"/>
      <c r="L220" s="5"/>
      <c r="N220" s="5"/>
      <c r="P220" s="6" t="str">
        <f t="shared" si="122"/>
        <v>N</v>
      </c>
      <c r="Q220" t="s">
        <v>3764</v>
      </c>
      <c r="R220" t="str">
        <f t="shared" si="126"/>
        <v>N</v>
      </c>
      <c r="S220" t="s">
        <v>3765</v>
      </c>
      <c r="T220" t="str">
        <f t="shared" si="125"/>
        <v>N</v>
      </c>
      <c r="U220" t="s">
        <v>3766</v>
      </c>
      <c r="V220" s="6" t="str">
        <f t="shared" si="123"/>
        <v>N</v>
      </c>
      <c r="W220" t="s">
        <v>3767</v>
      </c>
    </row>
    <row r="221" spans="1:23" x14ac:dyDescent="0.4">
      <c r="A221" s="7"/>
      <c r="B221" s="7"/>
      <c r="C221" s="7"/>
      <c r="D221" s="7"/>
      <c r="E221" s="7"/>
      <c r="F221" s="7"/>
      <c r="H221" s="5"/>
      <c r="J221" s="5"/>
      <c r="L221" s="5"/>
      <c r="N221" s="5"/>
      <c r="P221" s="6" t="str">
        <f t="shared" si="122"/>
        <v>N</v>
      </c>
      <c r="Q221" t="s">
        <v>3768</v>
      </c>
      <c r="R221" t="str">
        <f t="shared" si="126"/>
        <v>N</v>
      </c>
      <c r="S221" t="s">
        <v>3769</v>
      </c>
      <c r="T221" t="str">
        <f t="shared" si="125"/>
        <v>N</v>
      </c>
      <c r="U221" t="s">
        <v>3770</v>
      </c>
      <c r="V221" s="6" t="str">
        <f t="shared" si="123"/>
        <v>N</v>
      </c>
      <c r="W221" t="s">
        <v>3771</v>
      </c>
    </row>
    <row r="222" spans="1:23" x14ac:dyDescent="0.4">
      <c r="A222" s="7"/>
      <c r="B222" s="7"/>
      <c r="C222" s="7"/>
      <c r="D222" s="7"/>
      <c r="E222" s="7"/>
      <c r="F222" s="7"/>
      <c r="H222" s="5"/>
      <c r="J222" s="5"/>
      <c r="L222" s="5"/>
      <c r="N222" s="5"/>
      <c r="P222" s="6" t="str">
        <f t="shared" si="122"/>
        <v>N</v>
      </c>
      <c r="Q222" t="s">
        <v>2377</v>
      </c>
      <c r="R222" t="str">
        <f t="shared" si="126"/>
        <v>N</v>
      </c>
      <c r="S222" t="s">
        <v>3772</v>
      </c>
      <c r="T222" t="str">
        <f t="shared" si="125"/>
        <v>N</v>
      </c>
      <c r="U222" t="s">
        <v>3773</v>
      </c>
      <c r="V222" s="6" t="str">
        <f t="shared" si="123"/>
        <v>N</v>
      </c>
      <c r="W222" t="s">
        <v>3774</v>
      </c>
    </row>
    <row r="223" spans="1:23" x14ac:dyDescent="0.4">
      <c r="A223" s="7"/>
      <c r="B223" s="7"/>
      <c r="C223" s="7"/>
      <c r="D223" s="7"/>
      <c r="E223" s="7"/>
      <c r="F223" s="7"/>
      <c r="H223" s="5"/>
      <c r="J223" s="5"/>
      <c r="L223" s="5"/>
      <c r="N223" s="5"/>
      <c r="P223" s="6" t="str">
        <f t="shared" si="122"/>
        <v>N</v>
      </c>
      <c r="Q223" t="s">
        <v>2539</v>
      </c>
      <c r="R223" t="str">
        <f t="shared" si="126"/>
        <v>N</v>
      </c>
      <c r="S223" t="s">
        <v>3775</v>
      </c>
      <c r="T223" t="str">
        <f t="shared" si="125"/>
        <v>N</v>
      </c>
      <c r="U223" t="s">
        <v>3776</v>
      </c>
      <c r="V223" s="6" t="str">
        <f t="shared" si="123"/>
        <v>N</v>
      </c>
      <c r="W223" t="s">
        <v>3251</v>
      </c>
    </row>
    <row r="224" spans="1:23" x14ac:dyDescent="0.4">
      <c r="A224" s="7"/>
      <c r="B224" s="7"/>
      <c r="C224" s="7"/>
      <c r="D224" s="7"/>
      <c r="E224" s="7"/>
      <c r="F224" s="7"/>
      <c r="H224" s="5"/>
      <c r="J224" s="5"/>
      <c r="L224" s="5"/>
      <c r="N224" s="5"/>
      <c r="P224" s="6" t="str">
        <f t="shared" si="122"/>
        <v>N</v>
      </c>
      <c r="Q224" t="s">
        <v>3777</v>
      </c>
      <c r="R224" t="str">
        <f t="shared" si="126"/>
        <v>N</v>
      </c>
      <c r="S224" t="s">
        <v>3778</v>
      </c>
      <c r="T224" t="str">
        <f t="shared" si="125"/>
        <v>N</v>
      </c>
      <c r="U224" t="s">
        <v>3779</v>
      </c>
      <c r="V224" s="6" t="str">
        <f t="shared" si="123"/>
        <v>N</v>
      </c>
      <c r="W224" t="s">
        <v>3780</v>
      </c>
    </row>
    <row r="225" spans="1:23" x14ac:dyDescent="0.4">
      <c r="A225" s="7"/>
      <c r="B225" s="7"/>
      <c r="C225" s="7"/>
      <c r="D225" s="7"/>
      <c r="E225" s="7"/>
      <c r="F225" s="7"/>
      <c r="H225" s="5"/>
      <c r="J225" s="5"/>
      <c r="L225" s="5"/>
      <c r="N225" s="5"/>
      <c r="P225" s="6" t="str">
        <f t="shared" si="122"/>
        <v>N</v>
      </c>
      <c r="Q225" t="s">
        <v>3781</v>
      </c>
      <c r="R225" t="str">
        <f t="shared" si="126"/>
        <v>N</v>
      </c>
      <c r="S225" t="s">
        <v>3782</v>
      </c>
      <c r="T225" t="str">
        <f t="shared" si="125"/>
        <v>N</v>
      </c>
      <c r="U225" t="s">
        <v>3783</v>
      </c>
      <c r="V225" s="6" t="str">
        <f t="shared" si="123"/>
        <v>N</v>
      </c>
      <c r="W225" t="s">
        <v>3784</v>
      </c>
    </row>
    <row r="226" spans="1:23" x14ac:dyDescent="0.4">
      <c r="A226" s="7"/>
      <c r="B226" s="7"/>
      <c r="C226" s="7"/>
      <c r="D226" s="7"/>
      <c r="E226" s="7"/>
      <c r="F226" s="7"/>
      <c r="H226" s="5"/>
      <c r="J226" s="5"/>
      <c r="L226" s="5"/>
      <c r="N226" s="5"/>
      <c r="P226" s="6" t="str">
        <f t="shared" si="122"/>
        <v>N</v>
      </c>
      <c r="Q226" t="s">
        <v>3785</v>
      </c>
      <c r="R226" t="str">
        <f t="shared" si="126"/>
        <v>N</v>
      </c>
      <c r="S226" t="s">
        <v>3786</v>
      </c>
      <c r="T226" t="str">
        <f t="shared" si="125"/>
        <v>N</v>
      </c>
      <c r="U226" t="s">
        <v>3787</v>
      </c>
      <c r="V226" s="6" t="str">
        <f t="shared" si="123"/>
        <v>N</v>
      </c>
      <c r="W226" t="s">
        <v>168</v>
      </c>
    </row>
    <row r="227" spans="1:23" x14ac:dyDescent="0.4">
      <c r="A227" s="7"/>
      <c r="B227" s="7"/>
      <c r="C227" s="7"/>
      <c r="D227" s="7"/>
      <c r="E227" s="7"/>
      <c r="F227" s="7"/>
      <c r="H227" s="5"/>
      <c r="J227" s="5"/>
      <c r="L227" s="5"/>
      <c r="N227" s="5"/>
      <c r="P227" s="6" t="str">
        <f t="shared" si="122"/>
        <v>N</v>
      </c>
      <c r="Q227" t="s">
        <v>3788</v>
      </c>
      <c r="R227" t="str">
        <f t="shared" si="126"/>
        <v>N</v>
      </c>
      <c r="S227" t="s">
        <v>3789</v>
      </c>
      <c r="T227" t="str">
        <f t="shared" si="125"/>
        <v>N</v>
      </c>
      <c r="U227" t="s">
        <v>3790</v>
      </c>
      <c r="V227" s="6" t="str">
        <f t="shared" si="123"/>
        <v>N</v>
      </c>
      <c r="W227" t="s">
        <v>3791</v>
      </c>
    </row>
    <row r="228" spans="1:23" x14ac:dyDescent="0.4">
      <c r="A228" s="7"/>
      <c r="B228" s="7"/>
      <c r="C228" s="7"/>
      <c r="D228" s="7"/>
      <c r="E228" s="7"/>
      <c r="F228" s="7"/>
      <c r="H228" s="5"/>
      <c r="J228" s="5"/>
      <c r="L228" s="5"/>
      <c r="N228" s="5"/>
      <c r="P228" s="6" t="str">
        <f t="shared" si="122"/>
        <v>N</v>
      </c>
      <c r="Q228" t="s">
        <v>3792</v>
      </c>
      <c r="R228" t="str">
        <f t="shared" si="126"/>
        <v>N</v>
      </c>
      <c r="S228" t="s">
        <v>3633</v>
      </c>
      <c r="T228" t="str">
        <f t="shared" si="125"/>
        <v>N</v>
      </c>
      <c r="U228" t="s">
        <v>3793</v>
      </c>
      <c r="V228" s="6" t="str">
        <f t="shared" si="123"/>
        <v>N</v>
      </c>
      <c r="W228" t="s">
        <v>166</v>
      </c>
    </row>
    <row r="229" spans="1:23" x14ac:dyDescent="0.4">
      <c r="A229" s="7"/>
      <c r="B229" s="7"/>
      <c r="C229" s="7"/>
      <c r="D229" s="7"/>
      <c r="E229" s="7"/>
      <c r="F229" s="7"/>
      <c r="H229" s="5"/>
      <c r="J229" s="5"/>
      <c r="L229" s="5"/>
      <c r="N229" s="5"/>
      <c r="P229" s="6" t="str">
        <f t="shared" si="122"/>
        <v>N</v>
      </c>
      <c r="Q229" t="s">
        <v>2219</v>
      </c>
      <c r="R229" t="str">
        <f t="shared" si="126"/>
        <v>N</v>
      </c>
      <c r="S229" t="s">
        <v>3794</v>
      </c>
      <c r="T229" t="str">
        <f t="shared" si="125"/>
        <v>N</v>
      </c>
      <c r="U229" t="s">
        <v>3795</v>
      </c>
      <c r="V229" s="6" t="str">
        <f t="shared" si="123"/>
        <v>N</v>
      </c>
      <c r="W229" t="s">
        <v>3796</v>
      </c>
    </row>
    <row r="230" spans="1:23" x14ac:dyDescent="0.4">
      <c r="A230" s="7"/>
      <c r="B230" s="7"/>
      <c r="C230" s="7"/>
      <c r="D230" s="7"/>
      <c r="E230" s="7"/>
      <c r="F230" s="7"/>
      <c r="H230" s="5"/>
      <c r="J230" s="5"/>
      <c r="L230" s="5"/>
      <c r="N230" s="5"/>
      <c r="P230" s="6" t="str">
        <f t="shared" si="122"/>
        <v>N</v>
      </c>
      <c r="Q230" t="s">
        <v>2600</v>
      </c>
      <c r="R230" t="str">
        <f t="shared" si="126"/>
        <v>N</v>
      </c>
      <c r="S230" t="s">
        <v>3797</v>
      </c>
      <c r="T230" t="str">
        <f t="shared" si="125"/>
        <v>N</v>
      </c>
      <c r="U230" t="s">
        <v>3798</v>
      </c>
      <c r="V230" s="6" t="str">
        <f t="shared" si="123"/>
        <v>N</v>
      </c>
      <c r="W230" t="s">
        <v>1313</v>
      </c>
    </row>
    <row r="231" spans="1:23" x14ac:dyDescent="0.4">
      <c r="A231" s="7"/>
      <c r="B231" s="7"/>
      <c r="C231" s="7"/>
      <c r="D231" s="7"/>
      <c r="E231" s="7"/>
      <c r="F231" s="7"/>
      <c r="H231" s="5"/>
      <c r="J231" s="5"/>
      <c r="L231" s="5"/>
      <c r="N231" s="5"/>
      <c r="P231" s="6" t="str">
        <f t="shared" si="122"/>
        <v>N</v>
      </c>
      <c r="Q231" t="s">
        <v>3799</v>
      </c>
      <c r="R231" t="str">
        <f t="shared" si="126"/>
        <v>N</v>
      </c>
      <c r="S231" t="s">
        <v>3800</v>
      </c>
      <c r="T231" t="str">
        <f t="shared" si="125"/>
        <v>N</v>
      </c>
      <c r="U231" t="s">
        <v>3801</v>
      </c>
      <c r="V231" s="6" t="str">
        <f t="shared" si="123"/>
        <v>N</v>
      </c>
      <c r="W231" t="s">
        <v>3802</v>
      </c>
    </row>
    <row r="232" spans="1:23" x14ac:dyDescent="0.4">
      <c r="A232" s="7"/>
      <c r="B232" s="7"/>
      <c r="C232" s="7"/>
      <c r="D232" s="7"/>
      <c r="E232" s="7"/>
      <c r="F232" s="7"/>
      <c r="H232" s="5"/>
      <c r="J232" s="5"/>
      <c r="L232" s="5"/>
      <c r="N232" s="5"/>
      <c r="P232" s="6" t="str">
        <f t="shared" si="122"/>
        <v>N</v>
      </c>
      <c r="Q232" t="s">
        <v>3803</v>
      </c>
      <c r="R232" t="str">
        <f t="shared" si="126"/>
        <v>N</v>
      </c>
      <c r="S232" t="s">
        <v>3804</v>
      </c>
      <c r="T232" t="str">
        <f t="shared" si="125"/>
        <v>N</v>
      </c>
      <c r="U232" t="s">
        <v>3805</v>
      </c>
      <c r="V232" s="6" t="str">
        <f t="shared" si="123"/>
        <v>N</v>
      </c>
      <c r="W232" t="s">
        <v>3806</v>
      </c>
    </row>
    <row r="233" spans="1:23" x14ac:dyDescent="0.4">
      <c r="A233" s="7"/>
      <c r="B233" s="7"/>
      <c r="C233" s="7"/>
      <c r="D233" s="7"/>
      <c r="E233" s="7"/>
      <c r="F233" s="7"/>
      <c r="H233" s="5"/>
      <c r="J233" s="5"/>
      <c r="L233" s="5"/>
      <c r="N233" s="5"/>
      <c r="P233" s="6" t="str">
        <f t="shared" si="122"/>
        <v>N</v>
      </c>
      <c r="Q233" t="s">
        <v>3807</v>
      </c>
      <c r="R233" t="str">
        <f t="shared" si="126"/>
        <v>N</v>
      </c>
      <c r="S233" t="s">
        <v>3808</v>
      </c>
      <c r="T233" t="str">
        <f t="shared" si="125"/>
        <v>N</v>
      </c>
      <c r="U233" t="s">
        <v>3809</v>
      </c>
      <c r="V233" s="6" t="str">
        <f t="shared" si="123"/>
        <v>N</v>
      </c>
      <c r="W233" t="s">
        <v>3810</v>
      </c>
    </row>
    <row r="234" spans="1:23" x14ac:dyDescent="0.4">
      <c r="A234" s="7"/>
      <c r="B234" s="7"/>
      <c r="C234" s="7"/>
      <c r="D234" s="7"/>
      <c r="E234" s="7"/>
      <c r="F234" s="7"/>
      <c r="H234" s="5"/>
      <c r="J234" s="5"/>
      <c r="L234" s="5"/>
      <c r="N234" s="5"/>
      <c r="P234" s="6" t="str">
        <f t="shared" si="122"/>
        <v>N</v>
      </c>
      <c r="Q234" t="s">
        <v>3811</v>
      </c>
      <c r="R234" t="str">
        <f t="shared" si="126"/>
        <v>N</v>
      </c>
      <c r="S234" t="s">
        <v>3812</v>
      </c>
      <c r="T234" t="str">
        <f t="shared" si="125"/>
        <v>N</v>
      </c>
      <c r="U234" t="s">
        <v>3813</v>
      </c>
      <c r="V234" s="6" t="str">
        <f t="shared" si="123"/>
        <v>N</v>
      </c>
      <c r="W234" t="s">
        <v>3030</v>
      </c>
    </row>
    <row r="235" spans="1:23" x14ac:dyDescent="0.4">
      <c r="A235" s="7"/>
      <c r="B235" s="7"/>
      <c r="C235" s="7"/>
      <c r="D235" s="7"/>
      <c r="E235" s="7"/>
      <c r="F235" s="7"/>
      <c r="H235" s="5"/>
      <c r="J235" s="5"/>
      <c r="L235" s="5"/>
      <c r="N235" s="5"/>
      <c r="P235" s="6" t="str">
        <f t="shared" si="122"/>
        <v>N</v>
      </c>
      <c r="Q235" t="s">
        <v>3814</v>
      </c>
      <c r="R235" t="str">
        <f t="shared" si="126"/>
        <v>N</v>
      </c>
      <c r="S235" t="s">
        <v>3815</v>
      </c>
      <c r="T235" t="str">
        <f t="shared" si="125"/>
        <v>N</v>
      </c>
      <c r="U235" t="s">
        <v>3816</v>
      </c>
      <c r="V235" s="6" t="str">
        <f t="shared" si="123"/>
        <v>N</v>
      </c>
      <c r="W235" t="s">
        <v>3817</v>
      </c>
    </row>
    <row r="236" spans="1:23" x14ac:dyDescent="0.4">
      <c r="A236" s="7"/>
      <c r="B236" s="7"/>
      <c r="C236" s="7"/>
      <c r="D236" s="7"/>
      <c r="E236" s="7"/>
      <c r="F236" s="7"/>
      <c r="H236" s="5"/>
      <c r="J236" s="5"/>
      <c r="L236" s="5"/>
      <c r="N236" s="5"/>
      <c r="P236" s="6" t="str">
        <f t="shared" si="122"/>
        <v>N</v>
      </c>
      <c r="Q236" t="s">
        <v>3818</v>
      </c>
      <c r="R236" t="str">
        <f t="shared" si="126"/>
        <v>N</v>
      </c>
      <c r="S236" t="s">
        <v>2226</v>
      </c>
      <c r="T236" t="str">
        <f t="shared" si="125"/>
        <v>N</v>
      </c>
      <c r="U236" t="s">
        <v>3819</v>
      </c>
      <c r="V236" s="6" t="str">
        <f t="shared" si="123"/>
        <v>N</v>
      </c>
      <c r="W236" t="s">
        <v>713</v>
      </c>
    </row>
    <row r="237" spans="1:23" x14ac:dyDescent="0.4">
      <c r="A237" s="7"/>
      <c r="B237" s="7"/>
      <c r="C237" s="7"/>
      <c r="D237" s="7"/>
      <c r="E237" s="7"/>
      <c r="F237" s="7"/>
      <c r="H237" s="5"/>
      <c r="J237" s="5"/>
      <c r="L237" s="5"/>
      <c r="N237" s="5"/>
      <c r="P237" s="6" t="str">
        <f t="shared" si="122"/>
        <v>N</v>
      </c>
      <c r="Q237" t="s">
        <v>3820</v>
      </c>
      <c r="R237" t="str">
        <f t="shared" si="126"/>
        <v>N</v>
      </c>
      <c r="S237" t="s">
        <v>3821</v>
      </c>
      <c r="T237" t="str">
        <f t="shared" si="125"/>
        <v>N</v>
      </c>
      <c r="U237" t="s">
        <v>3822</v>
      </c>
      <c r="V237" s="6" t="str">
        <f t="shared" si="123"/>
        <v>N</v>
      </c>
      <c r="W237" t="s">
        <v>3823</v>
      </c>
    </row>
    <row r="238" spans="1:23" x14ac:dyDescent="0.4">
      <c r="A238" s="7"/>
      <c r="B238" s="7"/>
      <c r="C238" s="7"/>
      <c r="D238" s="7"/>
      <c r="E238" s="7"/>
      <c r="F238" s="7"/>
      <c r="H238" s="5"/>
      <c r="J238" s="5"/>
      <c r="L238" s="5"/>
      <c r="N238" s="5"/>
      <c r="P238" s="6" t="str">
        <f t="shared" si="122"/>
        <v>N</v>
      </c>
      <c r="Q238" t="s">
        <v>3824</v>
      </c>
      <c r="R238" t="str">
        <f t="shared" si="126"/>
        <v>N</v>
      </c>
      <c r="S238" t="s">
        <v>3825</v>
      </c>
      <c r="T238" t="str">
        <f t="shared" si="125"/>
        <v>N</v>
      </c>
      <c r="U238" t="s">
        <v>3826</v>
      </c>
      <c r="V238" s="6" t="str">
        <f t="shared" si="123"/>
        <v>N</v>
      </c>
      <c r="W238" t="s">
        <v>3291</v>
      </c>
    </row>
    <row r="239" spans="1:23" x14ac:dyDescent="0.4">
      <c r="A239" s="7"/>
      <c r="B239" s="7"/>
      <c r="C239" s="7"/>
      <c r="D239" s="7"/>
      <c r="E239" s="7"/>
      <c r="F239" s="7"/>
      <c r="H239" s="5"/>
      <c r="J239" s="5"/>
      <c r="L239" s="5"/>
      <c r="N239" s="5"/>
      <c r="P239" s="6" t="str">
        <f t="shared" si="122"/>
        <v>N</v>
      </c>
      <c r="Q239" t="s">
        <v>3827</v>
      </c>
      <c r="R239" t="str">
        <f t="shared" si="126"/>
        <v>N</v>
      </c>
      <c r="S239" t="s">
        <v>3828</v>
      </c>
      <c r="T239" t="str">
        <f t="shared" si="125"/>
        <v>N</v>
      </c>
      <c r="U239" t="s">
        <v>3829</v>
      </c>
      <c r="V239" s="6" t="str">
        <f t="shared" si="123"/>
        <v>N</v>
      </c>
      <c r="W239" t="s">
        <v>1053</v>
      </c>
    </row>
    <row r="240" spans="1:23" x14ac:dyDescent="0.4">
      <c r="A240" s="7"/>
      <c r="B240" s="7"/>
      <c r="C240" s="7"/>
      <c r="D240" s="7"/>
      <c r="E240" s="7"/>
      <c r="F240" s="7"/>
      <c r="H240" s="5"/>
      <c r="J240" s="5"/>
      <c r="L240" s="5"/>
      <c r="N240" s="5"/>
      <c r="P240" s="6" t="str">
        <f t="shared" si="122"/>
        <v>N</v>
      </c>
      <c r="Q240" t="s">
        <v>2729</v>
      </c>
      <c r="R240" t="str">
        <f t="shared" si="126"/>
        <v>N</v>
      </c>
      <c r="S240" t="s">
        <v>3830</v>
      </c>
      <c r="T240" t="str">
        <f t="shared" si="125"/>
        <v>N</v>
      </c>
      <c r="U240" t="s">
        <v>3831</v>
      </c>
      <c r="V240" s="6" t="str">
        <f t="shared" si="123"/>
        <v>N</v>
      </c>
      <c r="W240" t="s">
        <v>3832</v>
      </c>
    </row>
    <row r="241" spans="1:23" x14ac:dyDescent="0.4">
      <c r="A241" s="7"/>
      <c r="B241" s="7"/>
      <c r="C241" s="7"/>
      <c r="D241" s="7"/>
      <c r="E241" s="7"/>
      <c r="F241" s="7"/>
      <c r="H241" s="5"/>
      <c r="J241" s="5"/>
      <c r="L241" s="5"/>
      <c r="N241" s="5"/>
      <c r="P241" s="6" t="str">
        <f t="shared" si="122"/>
        <v>N</v>
      </c>
      <c r="Q241" t="s">
        <v>3833</v>
      </c>
      <c r="R241" t="str">
        <f t="shared" si="126"/>
        <v>N</v>
      </c>
      <c r="S241" t="s">
        <v>2919</v>
      </c>
      <c r="T241" t="str">
        <f t="shared" si="125"/>
        <v>N</v>
      </c>
      <c r="U241" t="s">
        <v>3834</v>
      </c>
      <c r="V241" s="6" t="str">
        <f t="shared" si="123"/>
        <v>N</v>
      </c>
      <c r="W241" t="s">
        <v>3835</v>
      </c>
    </row>
    <row r="242" spans="1:23" x14ac:dyDescent="0.4">
      <c r="A242" s="7"/>
      <c r="B242" s="7"/>
      <c r="C242" s="7"/>
      <c r="D242" s="7"/>
      <c r="E242" s="7"/>
      <c r="F242" s="7"/>
      <c r="H242" s="5"/>
      <c r="J242" s="5"/>
      <c r="L242" s="5"/>
      <c r="N242" s="5"/>
      <c r="P242" s="6" t="str">
        <f t="shared" si="122"/>
        <v>N</v>
      </c>
      <c r="Q242" t="s">
        <v>2497</v>
      </c>
      <c r="R242" t="str">
        <f t="shared" si="126"/>
        <v>N</v>
      </c>
      <c r="S242" t="s">
        <v>3836</v>
      </c>
      <c r="T242" t="str">
        <f t="shared" si="125"/>
        <v>N</v>
      </c>
      <c r="U242" t="s">
        <v>3837</v>
      </c>
      <c r="V242" s="6" t="str">
        <f t="shared" si="123"/>
        <v>N</v>
      </c>
      <c r="W242" t="s">
        <v>3838</v>
      </c>
    </row>
    <row r="243" spans="1:23" x14ac:dyDescent="0.4">
      <c r="A243" s="7"/>
      <c r="B243" s="7"/>
      <c r="C243" s="7"/>
      <c r="D243" s="7"/>
      <c r="E243" s="7"/>
      <c r="F243" s="7"/>
      <c r="H243" s="5"/>
      <c r="J243" s="5"/>
      <c r="L243" s="5"/>
      <c r="N243" s="5"/>
      <c r="P243" s="6" t="str">
        <f t="shared" ref="P243:P306" si="127">IF(EXACT(Q243,W243)=TRUE,"Y","N")</f>
        <v>N</v>
      </c>
      <c r="Q243" t="s">
        <v>3839</v>
      </c>
      <c r="R243" t="str">
        <f t="shared" si="126"/>
        <v>N</v>
      </c>
      <c r="S243" t="s">
        <v>2051</v>
      </c>
      <c r="T243" t="str">
        <f t="shared" si="125"/>
        <v>N</v>
      </c>
      <c r="U243" t="s">
        <v>3840</v>
      </c>
      <c r="V243" s="6" t="str">
        <f t="shared" ref="V243:V306" si="128">IF(EXACT(W243,M243)=TRUE,"Y","N")</f>
        <v>N</v>
      </c>
      <c r="W243" t="s">
        <v>3841</v>
      </c>
    </row>
    <row r="244" spans="1:23" x14ac:dyDescent="0.4">
      <c r="A244" s="7"/>
      <c r="B244" s="7"/>
      <c r="C244" s="7"/>
      <c r="D244" s="7"/>
      <c r="E244" s="7"/>
      <c r="F244" s="7"/>
      <c r="H244" s="5"/>
      <c r="J244" s="5"/>
      <c r="L244" s="5"/>
      <c r="N244" s="5"/>
      <c r="P244" s="6" t="str">
        <f t="shared" si="127"/>
        <v>N</v>
      </c>
      <c r="Q244" t="s">
        <v>3842</v>
      </c>
      <c r="R244" t="str">
        <f t="shared" si="126"/>
        <v>N</v>
      </c>
      <c r="S244" t="s">
        <v>2015</v>
      </c>
      <c r="T244" t="str">
        <f t="shared" ref="T244:T275" si="129">IF(EXACT(U244,K244)=TRUE,"Y","N")</f>
        <v>N</v>
      </c>
      <c r="U244" t="s">
        <v>2704</v>
      </c>
      <c r="V244" s="6" t="str">
        <f t="shared" si="128"/>
        <v>N</v>
      </c>
      <c r="W244" t="s">
        <v>3843</v>
      </c>
    </row>
    <row r="245" spans="1:23" x14ac:dyDescent="0.4">
      <c r="A245" s="7"/>
      <c r="B245" s="7"/>
      <c r="C245" s="7"/>
      <c r="D245" s="7"/>
      <c r="E245" s="7"/>
      <c r="F245" s="7"/>
      <c r="H245" s="5"/>
      <c r="J245" s="5"/>
      <c r="L245" s="5"/>
      <c r="N245" s="5"/>
      <c r="P245" s="6" t="str">
        <f t="shared" si="127"/>
        <v>N</v>
      </c>
      <c r="Q245" t="s">
        <v>3844</v>
      </c>
      <c r="R245" t="str">
        <f t="shared" si="126"/>
        <v>N</v>
      </c>
      <c r="S245" t="s">
        <v>2824</v>
      </c>
      <c r="T245" t="str">
        <f t="shared" si="129"/>
        <v>N</v>
      </c>
      <c r="U245" t="s">
        <v>3845</v>
      </c>
      <c r="V245" s="6" t="str">
        <f t="shared" si="128"/>
        <v>N</v>
      </c>
      <c r="W245" t="s">
        <v>3846</v>
      </c>
    </row>
    <row r="246" spans="1:23" x14ac:dyDescent="0.4">
      <c r="A246" s="7"/>
      <c r="B246" s="7"/>
      <c r="C246" s="7"/>
      <c r="D246" s="7"/>
      <c r="E246" s="7"/>
      <c r="F246" s="7"/>
      <c r="H246" s="5"/>
      <c r="J246" s="5"/>
      <c r="L246" s="5"/>
      <c r="N246" s="5"/>
      <c r="P246" s="6" t="str">
        <f t="shared" si="127"/>
        <v>N</v>
      </c>
      <c r="Q246" t="s">
        <v>3847</v>
      </c>
      <c r="R246" t="str">
        <f t="shared" si="126"/>
        <v>N</v>
      </c>
      <c r="S246" t="s">
        <v>3848</v>
      </c>
      <c r="T246" t="str">
        <f t="shared" si="129"/>
        <v>N</v>
      </c>
      <c r="U246" t="s">
        <v>3849</v>
      </c>
      <c r="V246" s="6" t="str">
        <f t="shared" si="128"/>
        <v>N</v>
      </c>
      <c r="W246" t="s">
        <v>3850</v>
      </c>
    </row>
    <row r="247" spans="1:23" x14ac:dyDescent="0.4">
      <c r="A247" s="7"/>
      <c r="B247" s="7"/>
      <c r="C247" s="7"/>
      <c r="D247" s="7"/>
      <c r="E247" s="7"/>
      <c r="F247" s="7"/>
      <c r="H247" s="5"/>
      <c r="J247" s="5"/>
      <c r="L247" s="5"/>
      <c r="N247" s="5"/>
      <c r="P247" s="6" t="str">
        <f t="shared" si="127"/>
        <v>N</v>
      </c>
      <c r="Q247" t="s">
        <v>3851</v>
      </c>
      <c r="R247" t="str">
        <f t="shared" si="126"/>
        <v>N</v>
      </c>
      <c r="S247" t="s">
        <v>1568</v>
      </c>
      <c r="T247" t="str">
        <f t="shared" si="129"/>
        <v>N</v>
      </c>
      <c r="U247" t="s">
        <v>3852</v>
      </c>
      <c r="V247" s="6" t="str">
        <f t="shared" si="128"/>
        <v>N</v>
      </c>
      <c r="W247" t="s">
        <v>3853</v>
      </c>
    </row>
    <row r="248" spans="1:23" x14ac:dyDescent="0.4">
      <c r="A248" s="7"/>
      <c r="B248" s="7"/>
      <c r="C248" s="7"/>
      <c r="D248" s="7"/>
      <c r="E248" s="7"/>
      <c r="F248" s="7"/>
      <c r="H248" s="5"/>
      <c r="J248" s="5"/>
      <c r="L248" s="5"/>
      <c r="N248" s="5"/>
      <c r="P248" s="6" t="str">
        <f t="shared" si="127"/>
        <v>N</v>
      </c>
      <c r="Q248" t="s">
        <v>3854</v>
      </c>
      <c r="R248" t="str">
        <f t="shared" si="126"/>
        <v>N</v>
      </c>
      <c r="S248" t="s">
        <v>2534</v>
      </c>
      <c r="T248" t="str">
        <f t="shared" si="129"/>
        <v>N</v>
      </c>
      <c r="U248" t="s">
        <v>3855</v>
      </c>
      <c r="V248" s="6" t="str">
        <f t="shared" si="128"/>
        <v>N</v>
      </c>
      <c r="W248" t="s">
        <v>3856</v>
      </c>
    </row>
    <row r="249" spans="1:23" x14ac:dyDescent="0.4">
      <c r="A249" s="7"/>
      <c r="B249" s="7"/>
      <c r="C249" s="7"/>
      <c r="D249" s="7"/>
      <c r="E249" s="7"/>
      <c r="F249" s="7"/>
      <c r="H249" s="5"/>
      <c r="J249" s="5"/>
      <c r="L249" s="5"/>
      <c r="N249" s="5"/>
      <c r="P249" s="6" t="str">
        <f t="shared" si="127"/>
        <v>N</v>
      </c>
      <c r="Q249" t="s">
        <v>3857</v>
      </c>
      <c r="R249" t="str">
        <f t="shared" si="126"/>
        <v>N</v>
      </c>
      <c r="S249" t="s">
        <v>3858</v>
      </c>
      <c r="T249" t="str">
        <f t="shared" si="129"/>
        <v>N</v>
      </c>
      <c r="U249" t="s">
        <v>3859</v>
      </c>
      <c r="V249" s="6" t="str">
        <f t="shared" si="128"/>
        <v>N</v>
      </c>
      <c r="W249" t="s">
        <v>3860</v>
      </c>
    </row>
    <row r="250" spans="1:23" x14ac:dyDescent="0.4">
      <c r="A250" s="7"/>
      <c r="B250" s="7"/>
      <c r="C250" s="7"/>
      <c r="D250" s="7"/>
      <c r="E250" s="7"/>
      <c r="F250" s="7"/>
      <c r="H250" s="5"/>
      <c r="J250" s="5"/>
      <c r="L250" s="5"/>
      <c r="N250" s="5"/>
      <c r="P250" s="6" t="str">
        <f t="shared" si="127"/>
        <v>N</v>
      </c>
      <c r="Q250" t="s">
        <v>3861</v>
      </c>
      <c r="R250" t="str">
        <f t="shared" si="126"/>
        <v>N</v>
      </c>
      <c r="S250" t="s">
        <v>3862</v>
      </c>
      <c r="T250" t="str">
        <f t="shared" si="129"/>
        <v>N</v>
      </c>
      <c r="U250" t="s">
        <v>3863</v>
      </c>
      <c r="V250" s="6" t="str">
        <f t="shared" si="128"/>
        <v>N</v>
      </c>
      <c r="W250" t="s">
        <v>3864</v>
      </c>
    </row>
    <row r="251" spans="1:23" x14ac:dyDescent="0.4">
      <c r="A251" s="7"/>
      <c r="B251" s="7"/>
      <c r="C251" s="7"/>
      <c r="D251" s="7"/>
      <c r="E251" s="7"/>
      <c r="F251" s="7"/>
      <c r="H251" s="5"/>
      <c r="J251" s="5"/>
      <c r="L251" s="5"/>
      <c r="N251" s="5"/>
      <c r="P251" s="6" t="str">
        <f t="shared" si="127"/>
        <v>N</v>
      </c>
      <c r="Q251" t="s">
        <v>3865</v>
      </c>
      <c r="R251" t="str">
        <f t="shared" si="126"/>
        <v>N</v>
      </c>
      <c r="S251" t="s">
        <v>3866</v>
      </c>
      <c r="T251" t="str">
        <f t="shared" si="129"/>
        <v>N</v>
      </c>
      <c r="U251" t="s">
        <v>3867</v>
      </c>
      <c r="V251" s="6" t="str">
        <f t="shared" si="128"/>
        <v>N</v>
      </c>
      <c r="W251" t="s">
        <v>3868</v>
      </c>
    </row>
    <row r="252" spans="1:23" x14ac:dyDescent="0.4">
      <c r="A252" s="7"/>
      <c r="B252" s="7"/>
      <c r="C252" s="7"/>
      <c r="D252" s="7"/>
      <c r="E252" s="7"/>
      <c r="F252" s="7"/>
      <c r="H252" s="5"/>
      <c r="J252" s="5"/>
      <c r="L252" s="5"/>
      <c r="N252" s="5"/>
      <c r="P252" s="6" t="str">
        <f t="shared" si="127"/>
        <v>N</v>
      </c>
      <c r="Q252" t="s">
        <v>3869</v>
      </c>
      <c r="R252" t="str">
        <f t="shared" si="126"/>
        <v>N</v>
      </c>
      <c r="S252" t="s">
        <v>3870</v>
      </c>
      <c r="T252" t="str">
        <f t="shared" si="129"/>
        <v>N</v>
      </c>
      <c r="U252" t="s">
        <v>3871</v>
      </c>
      <c r="V252" s="6" t="str">
        <f t="shared" si="128"/>
        <v>N</v>
      </c>
      <c r="W252" t="s">
        <v>3872</v>
      </c>
    </row>
    <row r="253" spans="1:23" x14ac:dyDescent="0.4">
      <c r="A253" s="7"/>
      <c r="B253" s="7"/>
      <c r="C253" s="7"/>
      <c r="D253" s="7"/>
      <c r="E253" s="7"/>
      <c r="F253" s="7"/>
      <c r="H253" s="5"/>
      <c r="J253" s="5"/>
      <c r="L253" s="5"/>
      <c r="N253" s="5"/>
      <c r="P253" s="6" t="str">
        <f t="shared" si="127"/>
        <v>N</v>
      </c>
      <c r="Q253" t="s">
        <v>3873</v>
      </c>
      <c r="R253" t="str">
        <f t="shared" si="126"/>
        <v>N</v>
      </c>
      <c r="S253" t="s">
        <v>3874</v>
      </c>
      <c r="T253" t="str">
        <f t="shared" si="129"/>
        <v>N</v>
      </c>
      <c r="U253" t="s">
        <v>3875</v>
      </c>
      <c r="V253" s="6" t="str">
        <f t="shared" si="128"/>
        <v>N</v>
      </c>
      <c r="W253" t="s">
        <v>3876</v>
      </c>
    </row>
    <row r="254" spans="1:23" x14ac:dyDescent="0.4">
      <c r="A254" s="7"/>
      <c r="B254" s="7"/>
      <c r="C254" s="7"/>
      <c r="D254" s="7"/>
      <c r="E254" s="7"/>
      <c r="F254" s="7"/>
      <c r="H254" s="5"/>
      <c r="J254" s="5"/>
      <c r="L254" s="5"/>
      <c r="N254" s="5"/>
      <c r="P254" s="6" t="str">
        <f t="shared" si="127"/>
        <v>N</v>
      </c>
      <c r="Q254" t="s">
        <v>3877</v>
      </c>
      <c r="R254" t="str">
        <f t="shared" si="126"/>
        <v>N</v>
      </c>
      <c r="S254" t="s">
        <v>3878</v>
      </c>
      <c r="T254" t="str">
        <f t="shared" si="129"/>
        <v>N</v>
      </c>
      <c r="U254" t="s">
        <v>3879</v>
      </c>
      <c r="V254" s="6" t="str">
        <f t="shared" si="128"/>
        <v>N</v>
      </c>
      <c r="W254" t="s">
        <v>3880</v>
      </c>
    </row>
    <row r="255" spans="1:23" x14ac:dyDescent="0.4">
      <c r="A255" s="7"/>
      <c r="B255" s="7"/>
      <c r="C255" s="7"/>
      <c r="D255" s="7"/>
      <c r="E255" s="7"/>
      <c r="F255" s="7"/>
      <c r="H255" s="5"/>
      <c r="J255" s="5"/>
      <c r="L255" s="5"/>
      <c r="N255" s="5"/>
      <c r="P255" s="6" t="str">
        <f t="shared" si="127"/>
        <v>N</v>
      </c>
      <c r="Q255" t="s">
        <v>3881</v>
      </c>
      <c r="R255" t="str">
        <f t="shared" si="126"/>
        <v>N</v>
      </c>
      <c r="S255" t="s">
        <v>3882</v>
      </c>
      <c r="T255" t="str">
        <f t="shared" si="129"/>
        <v>N</v>
      </c>
      <c r="U255" t="s">
        <v>3883</v>
      </c>
      <c r="V255" s="6" t="str">
        <f t="shared" si="128"/>
        <v>N</v>
      </c>
      <c r="W255" t="s">
        <v>3884</v>
      </c>
    </row>
    <row r="256" spans="1:23" x14ac:dyDescent="0.4">
      <c r="A256" s="7"/>
      <c r="B256" s="7"/>
      <c r="C256" s="7"/>
      <c r="D256" s="7"/>
      <c r="E256" s="7"/>
      <c r="F256" s="7"/>
      <c r="H256" s="5"/>
      <c r="J256" s="5"/>
      <c r="L256" s="5"/>
      <c r="N256" s="5"/>
      <c r="P256" s="6" t="str">
        <f t="shared" si="127"/>
        <v>N</v>
      </c>
      <c r="Q256" t="s">
        <v>3885</v>
      </c>
      <c r="R256" t="str">
        <f t="shared" si="126"/>
        <v>N</v>
      </c>
      <c r="S256" t="s">
        <v>3886</v>
      </c>
      <c r="T256" t="str">
        <f t="shared" si="129"/>
        <v>N</v>
      </c>
      <c r="U256" t="s">
        <v>3887</v>
      </c>
      <c r="V256" s="6" t="str">
        <f t="shared" si="128"/>
        <v>N</v>
      </c>
      <c r="W256" t="s">
        <v>3888</v>
      </c>
    </row>
    <row r="257" spans="1:23" x14ac:dyDescent="0.4">
      <c r="A257" s="7"/>
      <c r="B257" s="7"/>
      <c r="C257" s="7"/>
      <c r="D257" s="7"/>
      <c r="E257" s="7"/>
      <c r="F257" s="7"/>
      <c r="H257" s="5"/>
      <c r="J257" s="5"/>
      <c r="L257" s="5"/>
      <c r="N257" s="5"/>
      <c r="P257" s="6" t="str">
        <f t="shared" si="127"/>
        <v>N</v>
      </c>
      <c r="Q257" t="s">
        <v>3889</v>
      </c>
      <c r="R257" t="str">
        <f t="shared" si="126"/>
        <v>N</v>
      </c>
      <c r="S257" t="s">
        <v>3890</v>
      </c>
      <c r="T257" t="str">
        <f t="shared" si="129"/>
        <v>N</v>
      </c>
      <c r="U257" t="s">
        <v>3891</v>
      </c>
      <c r="V257" s="6" t="str">
        <f t="shared" si="128"/>
        <v>N</v>
      </c>
      <c r="W257" t="s">
        <v>3892</v>
      </c>
    </row>
    <row r="258" spans="1:23" x14ac:dyDescent="0.4">
      <c r="A258" s="7"/>
      <c r="B258" s="7"/>
      <c r="C258" s="7"/>
      <c r="D258" s="7"/>
      <c r="E258" s="7"/>
      <c r="F258" s="7"/>
      <c r="H258" s="5"/>
      <c r="J258" s="5"/>
      <c r="L258" s="5"/>
      <c r="N258" s="5"/>
      <c r="P258" s="6" t="str">
        <f t="shared" si="127"/>
        <v>N</v>
      </c>
      <c r="Q258" t="s">
        <v>2482</v>
      </c>
      <c r="R258" t="str">
        <f t="shared" si="126"/>
        <v>N</v>
      </c>
      <c r="S258" t="s">
        <v>3893</v>
      </c>
      <c r="T258" t="str">
        <f t="shared" si="129"/>
        <v>N</v>
      </c>
      <c r="U258" t="s">
        <v>3894</v>
      </c>
      <c r="V258" s="6" t="str">
        <f t="shared" si="128"/>
        <v>N</v>
      </c>
      <c r="W258" t="s">
        <v>3895</v>
      </c>
    </row>
    <row r="259" spans="1:23" x14ac:dyDescent="0.4">
      <c r="A259" s="7"/>
      <c r="B259" s="7"/>
      <c r="C259" s="7"/>
      <c r="D259" s="7"/>
      <c r="E259" s="7"/>
      <c r="F259" s="7"/>
      <c r="H259" s="5"/>
      <c r="J259" s="5"/>
      <c r="L259" s="5"/>
      <c r="N259" s="5"/>
      <c r="P259" s="6" t="str">
        <f t="shared" si="127"/>
        <v>N</v>
      </c>
      <c r="Q259" t="s">
        <v>3896</v>
      </c>
      <c r="R259" t="str">
        <f t="shared" si="126"/>
        <v>N</v>
      </c>
      <c r="S259" t="s">
        <v>3897</v>
      </c>
      <c r="T259" t="str">
        <f t="shared" si="129"/>
        <v>N</v>
      </c>
      <c r="U259" t="s">
        <v>3898</v>
      </c>
      <c r="V259" s="6" t="str">
        <f t="shared" si="128"/>
        <v>N</v>
      </c>
      <c r="W259" t="s">
        <v>3899</v>
      </c>
    </row>
    <row r="260" spans="1:23" x14ac:dyDescent="0.4">
      <c r="A260" s="7"/>
      <c r="B260" s="7"/>
      <c r="C260" s="7"/>
      <c r="D260" s="7"/>
      <c r="E260" s="7"/>
      <c r="F260" s="7"/>
      <c r="H260" s="5"/>
      <c r="J260" s="5"/>
      <c r="L260" s="5"/>
      <c r="N260" s="5"/>
      <c r="P260" s="6" t="str">
        <f t="shared" si="127"/>
        <v>N</v>
      </c>
      <c r="Q260" t="s">
        <v>3900</v>
      </c>
      <c r="R260" t="str">
        <f t="shared" si="126"/>
        <v>N</v>
      </c>
      <c r="S260" t="s">
        <v>2028</v>
      </c>
      <c r="T260" t="str">
        <f t="shared" si="129"/>
        <v>N</v>
      </c>
      <c r="U260" t="s">
        <v>3901</v>
      </c>
      <c r="V260" s="6" t="str">
        <f t="shared" si="128"/>
        <v>N</v>
      </c>
      <c r="W260" t="s">
        <v>3902</v>
      </c>
    </row>
    <row r="261" spans="1:23" x14ac:dyDescent="0.4">
      <c r="A261" s="7"/>
      <c r="B261" s="7"/>
      <c r="C261" s="7"/>
      <c r="D261" s="7"/>
      <c r="E261" s="7"/>
      <c r="F261" s="7"/>
      <c r="H261" s="5"/>
      <c r="J261" s="5"/>
      <c r="L261" s="5"/>
      <c r="N261" s="5"/>
      <c r="P261" s="6" t="str">
        <f t="shared" si="127"/>
        <v>N</v>
      </c>
      <c r="Q261" t="s">
        <v>3903</v>
      </c>
      <c r="R261" t="str">
        <f t="shared" si="126"/>
        <v>N</v>
      </c>
      <c r="S261" t="s">
        <v>2745</v>
      </c>
      <c r="T261" t="str">
        <f t="shared" si="129"/>
        <v>N</v>
      </c>
      <c r="U261" t="s">
        <v>3904</v>
      </c>
      <c r="V261" s="6" t="str">
        <f t="shared" si="128"/>
        <v>N</v>
      </c>
      <c r="W261" t="s">
        <v>3905</v>
      </c>
    </row>
    <row r="262" spans="1:23" x14ac:dyDescent="0.4">
      <c r="A262" s="7"/>
      <c r="B262" s="7"/>
      <c r="C262" s="7"/>
      <c r="D262" s="7"/>
      <c r="E262" s="7"/>
      <c r="F262" s="7"/>
      <c r="H262" s="5"/>
      <c r="J262" s="5"/>
      <c r="L262" s="5"/>
      <c r="N262" s="5"/>
      <c r="P262" s="6" t="str">
        <f t="shared" si="127"/>
        <v>N</v>
      </c>
      <c r="Q262" t="s">
        <v>3906</v>
      </c>
      <c r="R262" t="str">
        <f t="shared" si="126"/>
        <v>N</v>
      </c>
      <c r="S262" t="s">
        <v>3907</v>
      </c>
      <c r="T262" t="str">
        <f t="shared" si="129"/>
        <v>N</v>
      </c>
      <c r="U262" t="s">
        <v>3908</v>
      </c>
      <c r="V262" s="6" t="str">
        <f t="shared" si="128"/>
        <v>N</v>
      </c>
      <c r="W262" t="s">
        <v>3909</v>
      </c>
    </row>
    <row r="263" spans="1:23" x14ac:dyDescent="0.4">
      <c r="A263" s="7"/>
      <c r="B263" s="7"/>
      <c r="C263" s="7"/>
      <c r="D263" s="7"/>
      <c r="E263" s="7"/>
      <c r="F263" s="7"/>
      <c r="H263" s="5"/>
      <c r="J263" s="5"/>
      <c r="L263" s="5"/>
      <c r="N263" s="5"/>
      <c r="P263" s="6" t="str">
        <f t="shared" si="127"/>
        <v>N</v>
      </c>
      <c r="Q263" t="s">
        <v>3910</v>
      </c>
      <c r="R263" t="str">
        <f t="shared" si="126"/>
        <v>N</v>
      </c>
      <c r="S263" t="s">
        <v>3911</v>
      </c>
      <c r="T263" t="str">
        <f t="shared" si="129"/>
        <v>N</v>
      </c>
      <c r="U263" t="s">
        <v>3912</v>
      </c>
      <c r="V263" s="6" t="str">
        <f t="shared" si="128"/>
        <v>N</v>
      </c>
      <c r="W263" t="s">
        <v>3913</v>
      </c>
    </row>
    <row r="264" spans="1:23" x14ac:dyDescent="0.4">
      <c r="A264" s="7"/>
      <c r="B264" s="7"/>
      <c r="C264" s="7"/>
      <c r="D264" s="7"/>
      <c r="E264" s="7"/>
      <c r="F264" s="7"/>
      <c r="H264" s="5"/>
      <c r="J264" s="5"/>
      <c r="L264" s="5"/>
      <c r="N264" s="5"/>
      <c r="P264" s="6" t="str">
        <f t="shared" si="127"/>
        <v>N</v>
      </c>
      <c r="Q264" t="s">
        <v>3914</v>
      </c>
      <c r="R264" t="str">
        <f t="shared" si="126"/>
        <v>N</v>
      </c>
      <c r="S264" t="s">
        <v>3915</v>
      </c>
      <c r="T264" t="str">
        <f t="shared" si="129"/>
        <v>N</v>
      </c>
      <c r="U264" t="s">
        <v>3916</v>
      </c>
      <c r="V264" s="6" t="str">
        <f t="shared" si="128"/>
        <v>N</v>
      </c>
      <c r="W264" t="s">
        <v>3917</v>
      </c>
    </row>
    <row r="265" spans="1:23" x14ac:dyDescent="0.4">
      <c r="A265" s="7"/>
      <c r="B265" s="7"/>
      <c r="C265" s="7"/>
      <c r="D265" s="7"/>
      <c r="E265" s="7"/>
      <c r="F265" s="7"/>
      <c r="H265" s="5"/>
      <c r="J265" s="5"/>
      <c r="L265" s="5"/>
      <c r="N265" s="5"/>
      <c r="P265" s="6" t="str">
        <f t="shared" si="127"/>
        <v>N</v>
      </c>
      <c r="Q265" t="s">
        <v>1773</v>
      </c>
      <c r="R265" t="str">
        <f t="shared" si="126"/>
        <v>N</v>
      </c>
      <c r="S265" t="s">
        <v>3918</v>
      </c>
      <c r="T265" t="str">
        <f t="shared" si="129"/>
        <v>N</v>
      </c>
      <c r="U265" t="s">
        <v>3919</v>
      </c>
      <c r="V265" s="6" t="str">
        <f t="shared" si="128"/>
        <v>N</v>
      </c>
      <c r="W265" t="s">
        <v>3920</v>
      </c>
    </row>
    <row r="266" spans="1:23" x14ac:dyDescent="0.4">
      <c r="A266" s="7"/>
      <c r="B266" s="7"/>
      <c r="C266" s="7"/>
      <c r="D266" s="7"/>
      <c r="E266" s="7"/>
      <c r="F266" s="7"/>
      <c r="H266" s="5"/>
      <c r="J266" s="5"/>
      <c r="L266" s="5"/>
      <c r="N266" s="5"/>
      <c r="P266" s="6" t="str">
        <f t="shared" si="127"/>
        <v>N</v>
      </c>
      <c r="Q266" t="s">
        <v>3921</v>
      </c>
      <c r="R266" t="str">
        <f t="shared" si="126"/>
        <v>N</v>
      </c>
      <c r="S266" t="s">
        <v>3922</v>
      </c>
      <c r="T266" t="str">
        <f t="shared" si="129"/>
        <v>N</v>
      </c>
      <c r="U266" t="s">
        <v>3923</v>
      </c>
      <c r="V266" s="6" t="str">
        <f t="shared" si="128"/>
        <v>N</v>
      </c>
      <c r="W266" t="s">
        <v>3924</v>
      </c>
    </row>
    <row r="267" spans="1:23" x14ac:dyDescent="0.4">
      <c r="A267" s="7"/>
      <c r="B267" s="7"/>
      <c r="C267" s="7"/>
      <c r="D267" s="7"/>
      <c r="E267" s="7"/>
      <c r="F267" s="7"/>
      <c r="H267" s="5"/>
      <c r="J267" s="5"/>
      <c r="L267" s="5"/>
      <c r="N267" s="5"/>
      <c r="P267" s="6" t="str">
        <f t="shared" si="127"/>
        <v>N</v>
      </c>
      <c r="Q267" t="s">
        <v>3925</v>
      </c>
      <c r="R267" t="str">
        <f t="shared" si="126"/>
        <v>N</v>
      </c>
      <c r="S267" t="s">
        <v>3926</v>
      </c>
      <c r="T267" t="str">
        <f t="shared" si="129"/>
        <v>N</v>
      </c>
      <c r="U267" t="s">
        <v>3927</v>
      </c>
      <c r="V267" s="6" t="str">
        <f t="shared" si="128"/>
        <v>N</v>
      </c>
      <c r="W267" t="s">
        <v>3928</v>
      </c>
    </row>
    <row r="268" spans="1:23" x14ac:dyDescent="0.4">
      <c r="A268" s="7"/>
      <c r="B268" s="7"/>
      <c r="C268" s="7"/>
      <c r="D268" s="7"/>
      <c r="E268" s="7"/>
      <c r="F268" s="7"/>
      <c r="H268" s="5"/>
      <c r="J268" s="5"/>
      <c r="L268" s="5"/>
      <c r="N268" s="5"/>
      <c r="P268" s="6" t="str">
        <f t="shared" si="127"/>
        <v>N</v>
      </c>
      <c r="Q268" t="s">
        <v>3929</v>
      </c>
      <c r="R268" t="str">
        <f t="shared" si="126"/>
        <v>N</v>
      </c>
      <c r="S268" t="s">
        <v>3930</v>
      </c>
      <c r="T268" t="str">
        <f t="shared" si="129"/>
        <v>N</v>
      </c>
      <c r="U268" t="s">
        <v>3931</v>
      </c>
      <c r="V268" s="6" t="str">
        <f t="shared" si="128"/>
        <v>N</v>
      </c>
      <c r="W268" t="s">
        <v>3932</v>
      </c>
    </row>
    <row r="269" spans="1:23" x14ac:dyDescent="0.4">
      <c r="A269" s="7"/>
      <c r="B269" s="7"/>
      <c r="C269" s="7"/>
      <c r="D269" s="7"/>
      <c r="E269" s="7"/>
      <c r="F269" s="7"/>
      <c r="H269" s="5"/>
      <c r="J269" s="5"/>
      <c r="L269" s="5"/>
      <c r="N269" s="5"/>
      <c r="P269" s="6" t="str">
        <f t="shared" si="127"/>
        <v>N</v>
      </c>
      <c r="Q269" t="s">
        <v>1749</v>
      </c>
      <c r="R269" t="str">
        <f t="shared" si="126"/>
        <v>N</v>
      </c>
      <c r="S269" t="s">
        <v>3933</v>
      </c>
      <c r="T269" t="str">
        <f t="shared" si="129"/>
        <v>N</v>
      </c>
      <c r="U269" t="s">
        <v>3934</v>
      </c>
      <c r="V269" s="6" t="str">
        <f t="shared" si="128"/>
        <v>N</v>
      </c>
      <c r="W269" t="s">
        <v>3935</v>
      </c>
    </row>
    <row r="270" spans="1:23" x14ac:dyDescent="0.4">
      <c r="A270" s="7"/>
      <c r="B270" s="7"/>
      <c r="C270" s="7"/>
      <c r="D270" s="7"/>
      <c r="E270" s="7"/>
      <c r="F270" s="7"/>
      <c r="H270" s="5"/>
      <c r="J270" s="5"/>
      <c r="L270" s="5"/>
      <c r="N270" s="5"/>
      <c r="P270" s="6" t="str">
        <f t="shared" si="127"/>
        <v>N</v>
      </c>
      <c r="Q270" t="s">
        <v>1838</v>
      </c>
      <c r="R270" t="str">
        <f t="shared" si="126"/>
        <v>N</v>
      </c>
      <c r="S270" t="s">
        <v>3936</v>
      </c>
      <c r="T270" t="str">
        <f t="shared" si="129"/>
        <v>N</v>
      </c>
      <c r="U270" t="s">
        <v>3937</v>
      </c>
      <c r="V270" s="6" t="str">
        <f t="shared" si="128"/>
        <v>N</v>
      </c>
      <c r="W270" t="s">
        <v>3938</v>
      </c>
    </row>
    <row r="271" spans="1:23" x14ac:dyDescent="0.4">
      <c r="A271" s="7"/>
      <c r="B271" s="7"/>
      <c r="C271" s="7"/>
      <c r="D271" s="7"/>
      <c r="E271" s="7"/>
      <c r="F271" s="7"/>
      <c r="H271" s="5"/>
      <c r="J271" s="5"/>
      <c r="L271" s="5"/>
      <c r="N271" s="5"/>
      <c r="P271" s="6" t="str">
        <f t="shared" si="127"/>
        <v>N</v>
      </c>
      <c r="Q271" t="s">
        <v>3939</v>
      </c>
      <c r="R271" t="str">
        <f t="shared" si="126"/>
        <v>N</v>
      </c>
      <c r="S271" t="s">
        <v>3940</v>
      </c>
      <c r="T271" t="str">
        <f t="shared" si="129"/>
        <v>N</v>
      </c>
      <c r="U271" t="s">
        <v>3941</v>
      </c>
      <c r="V271" s="6" t="str">
        <f t="shared" si="128"/>
        <v>N</v>
      </c>
      <c r="W271" t="s">
        <v>3942</v>
      </c>
    </row>
    <row r="272" spans="1:23" x14ac:dyDescent="0.4">
      <c r="A272" s="7"/>
      <c r="B272" s="7"/>
      <c r="C272" s="7"/>
      <c r="D272" s="7"/>
      <c r="E272" s="7"/>
      <c r="F272" s="7"/>
      <c r="H272" s="5"/>
      <c r="J272" s="5"/>
      <c r="L272" s="5"/>
      <c r="N272" s="5"/>
      <c r="P272" s="6" t="str">
        <f t="shared" si="127"/>
        <v>N</v>
      </c>
      <c r="Q272" t="s">
        <v>3943</v>
      </c>
      <c r="R272" t="str">
        <f t="shared" si="126"/>
        <v>N</v>
      </c>
      <c r="S272" t="s">
        <v>3944</v>
      </c>
      <c r="T272" t="str">
        <f t="shared" si="129"/>
        <v>N</v>
      </c>
      <c r="U272" t="s">
        <v>3945</v>
      </c>
      <c r="V272" s="6" t="str">
        <f t="shared" si="128"/>
        <v>N</v>
      </c>
      <c r="W272" t="s">
        <v>3946</v>
      </c>
    </row>
    <row r="273" spans="1:23" x14ac:dyDescent="0.4">
      <c r="A273" s="7"/>
      <c r="B273" s="7"/>
      <c r="C273" s="7"/>
      <c r="D273" s="7"/>
      <c r="E273" s="7"/>
      <c r="F273" s="7"/>
      <c r="H273" s="5"/>
      <c r="J273" s="5"/>
      <c r="L273" s="5"/>
      <c r="N273" s="5"/>
      <c r="P273" s="6" t="str">
        <f t="shared" si="127"/>
        <v>N</v>
      </c>
      <c r="Q273" t="s">
        <v>3947</v>
      </c>
      <c r="R273" t="str">
        <f t="shared" si="126"/>
        <v>N</v>
      </c>
      <c r="S273" t="s">
        <v>3948</v>
      </c>
      <c r="T273" t="str">
        <f t="shared" si="129"/>
        <v>N</v>
      </c>
      <c r="U273" t="s">
        <v>3949</v>
      </c>
      <c r="V273" s="6" t="str">
        <f t="shared" si="128"/>
        <v>N</v>
      </c>
      <c r="W273" t="s">
        <v>3950</v>
      </c>
    </row>
    <row r="274" spans="1:23" x14ac:dyDescent="0.4">
      <c r="A274" s="7"/>
      <c r="B274" s="7"/>
      <c r="C274" s="7"/>
      <c r="D274" s="7"/>
      <c r="E274" s="7"/>
      <c r="F274" s="7"/>
      <c r="H274" s="5"/>
      <c r="J274" s="5"/>
      <c r="L274" s="5"/>
      <c r="N274" s="5"/>
      <c r="P274" s="6" t="str">
        <f t="shared" si="127"/>
        <v>N</v>
      </c>
      <c r="Q274" t="s">
        <v>3951</v>
      </c>
      <c r="R274" t="str">
        <f t="shared" si="126"/>
        <v>N</v>
      </c>
      <c r="S274" t="s">
        <v>3952</v>
      </c>
      <c r="T274" t="str">
        <f t="shared" si="129"/>
        <v>N</v>
      </c>
      <c r="U274" t="s">
        <v>3953</v>
      </c>
      <c r="V274" s="6" t="str">
        <f t="shared" si="128"/>
        <v>N</v>
      </c>
      <c r="W274" t="s">
        <v>3954</v>
      </c>
    </row>
    <row r="275" spans="1:23" x14ac:dyDescent="0.4">
      <c r="A275" s="7"/>
      <c r="B275" s="7"/>
      <c r="C275" s="7"/>
      <c r="D275" s="7"/>
      <c r="E275" s="7"/>
      <c r="F275" s="7"/>
      <c r="H275" s="5"/>
      <c r="J275" s="5"/>
      <c r="L275" s="5"/>
      <c r="N275" s="5"/>
      <c r="P275" s="6" t="str">
        <f t="shared" si="127"/>
        <v>N</v>
      </c>
      <c r="Q275" t="s">
        <v>3955</v>
      </c>
      <c r="R275" t="str">
        <f t="shared" si="126"/>
        <v>N</v>
      </c>
      <c r="S275" t="s">
        <v>3956</v>
      </c>
      <c r="T275" t="str">
        <f t="shared" si="129"/>
        <v>N</v>
      </c>
      <c r="U275" t="s">
        <v>3957</v>
      </c>
      <c r="V275" s="6" t="str">
        <f t="shared" si="128"/>
        <v>N</v>
      </c>
      <c r="W275" t="s">
        <v>3958</v>
      </c>
    </row>
    <row r="276" spans="1:23" x14ac:dyDescent="0.4">
      <c r="A276" s="7"/>
      <c r="B276" s="7"/>
      <c r="C276" s="7"/>
      <c r="D276" s="7"/>
      <c r="E276" s="7"/>
      <c r="F276" s="7"/>
      <c r="H276" s="5"/>
      <c r="J276" s="5"/>
      <c r="L276" s="5"/>
      <c r="N276" s="5"/>
      <c r="P276" s="6" t="str">
        <f t="shared" si="127"/>
        <v>N</v>
      </c>
      <c r="Q276" t="s">
        <v>3959</v>
      </c>
      <c r="R276" t="str">
        <f t="shared" si="126"/>
        <v>N</v>
      </c>
      <c r="S276" t="s">
        <v>3960</v>
      </c>
      <c r="T276" t="str">
        <f t="shared" ref="T276:T311" si="130">IF(EXACT(U276,K276)=TRUE,"Y","N")</f>
        <v>N</v>
      </c>
      <c r="U276" t="s">
        <v>3961</v>
      </c>
      <c r="V276" s="6" t="str">
        <f t="shared" si="128"/>
        <v>N</v>
      </c>
      <c r="W276" t="s">
        <v>3962</v>
      </c>
    </row>
    <row r="277" spans="1:23" x14ac:dyDescent="0.4">
      <c r="A277" s="7"/>
      <c r="B277" s="7"/>
      <c r="C277" s="7"/>
      <c r="D277" s="7"/>
      <c r="E277" s="7"/>
      <c r="F277" s="7"/>
      <c r="H277" s="5"/>
      <c r="J277" s="5"/>
      <c r="L277" s="5"/>
      <c r="N277" s="5"/>
      <c r="P277" s="6" t="str">
        <f t="shared" si="127"/>
        <v>N</v>
      </c>
      <c r="Q277" t="s">
        <v>3963</v>
      </c>
      <c r="R277" t="str">
        <f t="shared" ref="R277:R340" si="131">IF(EXACT(S278,I277)=TRUE,"Y","N")</f>
        <v>N</v>
      </c>
      <c r="S277" t="s">
        <v>3964</v>
      </c>
      <c r="T277" t="str">
        <f t="shared" si="130"/>
        <v>N</v>
      </c>
      <c r="U277" t="s">
        <v>3965</v>
      </c>
      <c r="V277" s="6" t="str">
        <f t="shared" si="128"/>
        <v>N</v>
      </c>
      <c r="W277" t="s">
        <v>3966</v>
      </c>
    </row>
    <row r="278" spans="1:23" x14ac:dyDescent="0.4">
      <c r="A278" s="7"/>
      <c r="B278" s="7"/>
      <c r="C278" s="7"/>
      <c r="D278" s="7"/>
      <c r="E278" s="7"/>
      <c r="F278" s="7"/>
      <c r="H278" s="5"/>
      <c r="J278" s="5"/>
      <c r="L278" s="5"/>
      <c r="N278" s="5"/>
      <c r="P278" s="6" t="str">
        <f t="shared" si="127"/>
        <v>N</v>
      </c>
      <c r="Q278" t="s">
        <v>3967</v>
      </c>
      <c r="R278" t="str">
        <f t="shared" si="131"/>
        <v>N</v>
      </c>
      <c r="S278" t="s">
        <v>3968</v>
      </c>
      <c r="T278" t="str">
        <f t="shared" si="130"/>
        <v>N</v>
      </c>
      <c r="U278" t="s">
        <v>3969</v>
      </c>
      <c r="V278" s="6" t="str">
        <f t="shared" si="128"/>
        <v>N</v>
      </c>
      <c r="W278" t="s">
        <v>3970</v>
      </c>
    </row>
    <row r="279" spans="1:23" x14ac:dyDescent="0.4">
      <c r="A279" s="7"/>
      <c r="B279" s="7"/>
      <c r="C279" s="7"/>
      <c r="D279" s="7"/>
      <c r="E279" s="7"/>
      <c r="F279" s="7"/>
      <c r="H279" s="5"/>
      <c r="J279" s="5"/>
      <c r="L279" s="5"/>
      <c r="N279" s="5"/>
      <c r="P279" s="6" t="str">
        <f t="shared" si="127"/>
        <v>N</v>
      </c>
      <c r="Q279" t="s">
        <v>2835</v>
      </c>
      <c r="R279" t="str">
        <f t="shared" si="131"/>
        <v>N</v>
      </c>
      <c r="S279" t="s">
        <v>3971</v>
      </c>
      <c r="T279" t="str">
        <f t="shared" si="130"/>
        <v>N</v>
      </c>
      <c r="U279" t="s">
        <v>3972</v>
      </c>
      <c r="V279" s="6" t="str">
        <f t="shared" si="128"/>
        <v>N</v>
      </c>
      <c r="W279" t="s">
        <v>3973</v>
      </c>
    </row>
    <row r="280" spans="1:23" x14ac:dyDescent="0.4">
      <c r="A280" s="7"/>
      <c r="B280" s="7"/>
      <c r="C280" s="7"/>
      <c r="D280" s="7"/>
      <c r="E280" s="7"/>
      <c r="F280" s="7"/>
      <c r="H280" s="5"/>
      <c r="J280" s="5"/>
      <c r="L280" s="5"/>
      <c r="N280" s="5"/>
      <c r="P280" s="6" t="str">
        <f t="shared" si="127"/>
        <v>N</v>
      </c>
      <c r="Q280" t="s">
        <v>3974</v>
      </c>
      <c r="R280" t="str">
        <f t="shared" si="131"/>
        <v>N</v>
      </c>
      <c r="S280" t="s">
        <v>3975</v>
      </c>
      <c r="T280" t="str">
        <f t="shared" si="130"/>
        <v>N</v>
      </c>
      <c r="U280" t="s">
        <v>3976</v>
      </c>
      <c r="V280" s="6" t="str">
        <f t="shared" si="128"/>
        <v>N</v>
      </c>
      <c r="W280" t="s">
        <v>3977</v>
      </c>
    </row>
    <row r="281" spans="1:23" x14ac:dyDescent="0.4">
      <c r="A281" s="7"/>
      <c r="B281" s="7"/>
      <c r="C281" s="7"/>
      <c r="D281" s="7"/>
      <c r="E281" s="7"/>
      <c r="F281" s="7"/>
      <c r="H281" s="5"/>
      <c r="J281" s="5"/>
      <c r="L281" s="5"/>
      <c r="N281" s="5"/>
      <c r="P281" s="6" t="str">
        <f t="shared" si="127"/>
        <v>N</v>
      </c>
      <c r="Q281" t="s">
        <v>3978</v>
      </c>
      <c r="R281" t="str">
        <f t="shared" si="131"/>
        <v>N</v>
      </c>
      <c r="S281" t="s">
        <v>3979</v>
      </c>
      <c r="T281" t="str">
        <f t="shared" si="130"/>
        <v>N</v>
      </c>
      <c r="U281" t="s">
        <v>3980</v>
      </c>
      <c r="V281" s="6" t="str">
        <f t="shared" si="128"/>
        <v>N</v>
      </c>
      <c r="W281" t="s">
        <v>3981</v>
      </c>
    </row>
    <row r="282" spans="1:23" x14ac:dyDescent="0.4">
      <c r="A282" s="7"/>
      <c r="B282" s="7"/>
      <c r="C282" s="7"/>
      <c r="D282" s="7"/>
      <c r="E282" s="7"/>
      <c r="F282" s="7"/>
      <c r="H282" s="5"/>
      <c r="J282" s="5"/>
      <c r="L282" s="5"/>
      <c r="N282" s="5"/>
      <c r="P282" s="6" t="str">
        <f t="shared" si="127"/>
        <v>N</v>
      </c>
      <c r="Q282" t="s">
        <v>3982</v>
      </c>
      <c r="R282" t="str">
        <f t="shared" si="131"/>
        <v>N</v>
      </c>
      <c r="S282" t="s">
        <v>3983</v>
      </c>
      <c r="T282" t="str">
        <f t="shared" si="130"/>
        <v>N</v>
      </c>
      <c r="U282" t="s">
        <v>3984</v>
      </c>
      <c r="V282" s="6" t="str">
        <f t="shared" si="128"/>
        <v>N</v>
      </c>
      <c r="W282" t="s">
        <v>3462</v>
      </c>
    </row>
    <row r="283" spans="1:23" x14ac:dyDescent="0.4">
      <c r="A283" s="7"/>
      <c r="B283" s="7"/>
      <c r="C283" s="7"/>
      <c r="D283" s="7"/>
      <c r="E283" s="7"/>
      <c r="F283" s="7"/>
      <c r="H283" s="5"/>
      <c r="J283" s="5"/>
      <c r="L283" s="5"/>
      <c r="N283" s="5"/>
      <c r="P283" s="6" t="str">
        <f t="shared" si="127"/>
        <v>N</v>
      </c>
      <c r="Q283" t="s">
        <v>3985</v>
      </c>
      <c r="R283" t="str">
        <f t="shared" si="131"/>
        <v>N</v>
      </c>
      <c r="S283" t="s">
        <v>3986</v>
      </c>
      <c r="T283" t="str">
        <f t="shared" si="130"/>
        <v>N</v>
      </c>
      <c r="U283" t="s">
        <v>3987</v>
      </c>
      <c r="V283" s="6" t="str">
        <f t="shared" si="128"/>
        <v>N</v>
      </c>
      <c r="W283" t="s">
        <v>3988</v>
      </c>
    </row>
    <row r="284" spans="1:23" x14ac:dyDescent="0.4">
      <c r="A284" s="7"/>
      <c r="B284" s="7"/>
      <c r="C284" s="7"/>
      <c r="D284" s="7"/>
      <c r="E284" s="7"/>
      <c r="F284" s="7"/>
      <c r="H284" s="5"/>
      <c r="J284" s="5"/>
      <c r="L284" s="5"/>
      <c r="N284" s="5"/>
      <c r="P284" s="6" t="str">
        <f t="shared" si="127"/>
        <v>N</v>
      </c>
      <c r="Q284" t="s">
        <v>3989</v>
      </c>
      <c r="R284" t="str">
        <f t="shared" si="131"/>
        <v>N</v>
      </c>
      <c r="S284" t="s">
        <v>3990</v>
      </c>
      <c r="T284" t="str">
        <f t="shared" si="130"/>
        <v>N</v>
      </c>
      <c r="U284" t="s">
        <v>3991</v>
      </c>
      <c r="V284" s="6" t="str">
        <f t="shared" si="128"/>
        <v>N</v>
      </c>
      <c r="W284" t="s">
        <v>3992</v>
      </c>
    </row>
    <row r="285" spans="1:23" x14ac:dyDescent="0.4">
      <c r="A285" s="7"/>
      <c r="B285" s="7"/>
      <c r="C285" s="7"/>
      <c r="D285" s="7"/>
      <c r="E285" s="7"/>
      <c r="F285" s="7"/>
      <c r="H285" s="5"/>
      <c r="J285" s="5"/>
      <c r="L285" s="5"/>
      <c r="N285" s="5"/>
      <c r="P285" s="6" t="str">
        <f t="shared" si="127"/>
        <v>N</v>
      </c>
      <c r="Q285" t="s">
        <v>3993</v>
      </c>
      <c r="R285" t="str">
        <f t="shared" si="131"/>
        <v>N</v>
      </c>
      <c r="S285" t="s">
        <v>3994</v>
      </c>
      <c r="T285" t="str">
        <f t="shared" si="130"/>
        <v>N</v>
      </c>
      <c r="U285" t="s">
        <v>3995</v>
      </c>
      <c r="V285" s="6" t="str">
        <f t="shared" si="128"/>
        <v>N</v>
      </c>
      <c r="W285" t="s">
        <v>3996</v>
      </c>
    </row>
    <row r="286" spans="1:23" x14ac:dyDescent="0.4">
      <c r="A286" s="7"/>
      <c r="B286" s="7"/>
      <c r="C286" s="7"/>
      <c r="D286" s="7"/>
      <c r="E286" s="7"/>
      <c r="F286" s="7"/>
      <c r="H286" s="5"/>
      <c r="J286" s="5"/>
      <c r="L286" s="5"/>
      <c r="N286" s="5"/>
      <c r="P286" s="6" t="str">
        <f t="shared" si="127"/>
        <v>N</v>
      </c>
      <c r="Q286" t="s">
        <v>3997</v>
      </c>
      <c r="R286" t="str">
        <f t="shared" si="131"/>
        <v>N</v>
      </c>
      <c r="S286" t="s">
        <v>3998</v>
      </c>
      <c r="T286" t="str">
        <f t="shared" si="130"/>
        <v>N</v>
      </c>
      <c r="U286" t="s">
        <v>3999</v>
      </c>
      <c r="V286" s="6" t="str">
        <f t="shared" si="128"/>
        <v>N</v>
      </c>
      <c r="W286" t="s">
        <v>4000</v>
      </c>
    </row>
    <row r="287" spans="1:23" x14ac:dyDescent="0.4">
      <c r="A287" s="7"/>
      <c r="B287" s="7"/>
      <c r="C287" s="7"/>
      <c r="D287" s="7"/>
      <c r="E287" s="7"/>
      <c r="F287" s="7"/>
      <c r="H287" s="5"/>
      <c r="J287" s="5"/>
      <c r="L287" s="5"/>
      <c r="N287" s="5"/>
      <c r="P287" s="6" t="str">
        <f t="shared" si="127"/>
        <v>N</v>
      </c>
      <c r="Q287" t="s">
        <v>4001</v>
      </c>
      <c r="R287" t="str">
        <f t="shared" si="131"/>
        <v>N</v>
      </c>
      <c r="S287" t="s">
        <v>4002</v>
      </c>
      <c r="T287" t="str">
        <f t="shared" si="130"/>
        <v>N</v>
      </c>
      <c r="U287" t="s">
        <v>4003</v>
      </c>
      <c r="V287" s="6" t="str">
        <f t="shared" si="128"/>
        <v>N</v>
      </c>
      <c r="W287" t="s">
        <v>4004</v>
      </c>
    </row>
    <row r="288" spans="1:23" x14ac:dyDescent="0.4">
      <c r="A288" s="7"/>
      <c r="B288" s="7"/>
      <c r="C288" s="7"/>
      <c r="D288" s="7"/>
      <c r="E288" s="7"/>
      <c r="F288" s="7"/>
      <c r="H288" s="5"/>
      <c r="J288" s="5"/>
      <c r="L288" s="5"/>
      <c r="N288" s="5"/>
      <c r="P288" s="6" t="str">
        <f t="shared" si="127"/>
        <v>N</v>
      </c>
      <c r="Q288" t="s">
        <v>4005</v>
      </c>
      <c r="R288" t="str">
        <f t="shared" si="131"/>
        <v>N</v>
      </c>
      <c r="S288" t="s">
        <v>4006</v>
      </c>
      <c r="T288" t="str">
        <f t="shared" si="130"/>
        <v>N</v>
      </c>
      <c r="U288" t="s">
        <v>4007</v>
      </c>
      <c r="V288" s="6" t="str">
        <f t="shared" si="128"/>
        <v>N</v>
      </c>
      <c r="W288" t="s">
        <v>4008</v>
      </c>
    </row>
    <row r="289" spans="1:23" x14ac:dyDescent="0.4">
      <c r="A289" s="7"/>
      <c r="B289" s="7"/>
      <c r="C289" s="7"/>
      <c r="D289" s="7"/>
      <c r="E289" s="7"/>
      <c r="F289" s="7"/>
      <c r="H289" s="5"/>
      <c r="J289" s="5"/>
      <c r="L289" s="5"/>
      <c r="N289" s="5"/>
      <c r="P289" s="6" t="str">
        <f t="shared" si="127"/>
        <v>N</v>
      </c>
      <c r="Q289" t="s">
        <v>4009</v>
      </c>
      <c r="R289" t="str">
        <f t="shared" si="131"/>
        <v>N</v>
      </c>
      <c r="S289" t="s">
        <v>4010</v>
      </c>
      <c r="T289" t="str">
        <f t="shared" si="130"/>
        <v>N</v>
      </c>
      <c r="U289" t="s">
        <v>4011</v>
      </c>
      <c r="V289" s="6" t="str">
        <f t="shared" si="128"/>
        <v>N</v>
      </c>
      <c r="W289" t="s">
        <v>4012</v>
      </c>
    </row>
    <row r="290" spans="1:23" x14ac:dyDescent="0.4">
      <c r="A290" s="7"/>
      <c r="B290" s="7"/>
      <c r="C290" s="7"/>
      <c r="D290" s="7"/>
      <c r="E290" s="7"/>
      <c r="F290" s="7"/>
      <c r="H290" s="5"/>
      <c r="J290" s="5"/>
      <c r="L290" s="5"/>
      <c r="N290" s="5"/>
      <c r="P290" s="6" t="str">
        <f t="shared" si="127"/>
        <v>N</v>
      </c>
      <c r="Q290" t="s">
        <v>4013</v>
      </c>
      <c r="R290" t="str">
        <f t="shared" si="131"/>
        <v>N</v>
      </c>
      <c r="S290" t="s">
        <v>4014</v>
      </c>
      <c r="T290" t="str">
        <f t="shared" si="130"/>
        <v>N</v>
      </c>
      <c r="U290" t="s">
        <v>4015</v>
      </c>
      <c r="V290" s="6" t="str">
        <f t="shared" si="128"/>
        <v>N</v>
      </c>
      <c r="W290" t="s">
        <v>4016</v>
      </c>
    </row>
    <row r="291" spans="1:23" x14ac:dyDescent="0.4">
      <c r="A291" s="7"/>
      <c r="B291" s="7"/>
      <c r="C291" s="7"/>
      <c r="D291" s="7"/>
      <c r="E291" s="7"/>
      <c r="F291" s="7"/>
      <c r="H291" s="5"/>
      <c r="J291" s="5"/>
      <c r="L291" s="5"/>
      <c r="N291" s="5"/>
      <c r="P291" s="6" t="str">
        <f t="shared" si="127"/>
        <v>N</v>
      </c>
      <c r="Q291" t="s">
        <v>4017</v>
      </c>
      <c r="R291" t="str">
        <f t="shared" si="131"/>
        <v>N</v>
      </c>
      <c r="S291" t="s">
        <v>4018</v>
      </c>
      <c r="T291" t="str">
        <f t="shared" si="130"/>
        <v>N</v>
      </c>
      <c r="U291" t="s">
        <v>4019</v>
      </c>
      <c r="V291" s="6" t="str">
        <f t="shared" si="128"/>
        <v>N</v>
      </c>
      <c r="W291" t="s">
        <v>4020</v>
      </c>
    </row>
    <row r="292" spans="1:23" x14ac:dyDescent="0.4">
      <c r="A292" s="7"/>
      <c r="B292" s="7"/>
      <c r="C292" s="7"/>
      <c r="D292" s="7"/>
      <c r="E292" s="7"/>
      <c r="F292" s="7"/>
      <c r="H292" s="5"/>
      <c r="J292" s="5"/>
      <c r="L292" s="5"/>
      <c r="N292" s="5"/>
      <c r="P292" s="6" t="str">
        <f t="shared" si="127"/>
        <v>N</v>
      </c>
      <c r="Q292" t="s">
        <v>4021</v>
      </c>
      <c r="R292" t="str">
        <f t="shared" si="131"/>
        <v>N</v>
      </c>
      <c r="S292" t="s">
        <v>4022</v>
      </c>
      <c r="T292" t="str">
        <f t="shared" si="130"/>
        <v>N</v>
      </c>
      <c r="U292" t="s">
        <v>4023</v>
      </c>
      <c r="V292" s="6" t="str">
        <f t="shared" si="128"/>
        <v>N</v>
      </c>
      <c r="W292" t="s">
        <v>1951</v>
      </c>
    </row>
    <row r="293" spans="1:23" x14ac:dyDescent="0.4">
      <c r="A293" s="7"/>
      <c r="B293" s="7"/>
      <c r="C293" s="7"/>
      <c r="D293" s="7"/>
      <c r="E293" s="7"/>
      <c r="F293" s="7"/>
      <c r="H293" s="5"/>
      <c r="J293" s="5"/>
      <c r="L293" s="5"/>
      <c r="N293" s="5"/>
      <c r="P293" s="6" t="str">
        <f t="shared" si="127"/>
        <v>N</v>
      </c>
      <c r="Q293" t="s">
        <v>4024</v>
      </c>
      <c r="R293" t="str">
        <f t="shared" si="131"/>
        <v>N</v>
      </c>
      <c r="S293" t="s">
        <v>4025</v>
      </c>
      <c r="T293" t="str">
        <f t="shared" si="130"/>
        <v>N</v>
      </c>
      <c r="U293" t="s">
        <v>4026</v>
      </c>
      <c r="V293" s="6" t="str">
        <f t="shared" si="128"/>
        <v>N</v>
      </c>
      <c r="W293" t="s">
        <v>4027</v>
      </c>
    </row>
    <row r="294" spans="1:23" x14ac:dyDescent="0.4">
      <c r="A294" s="7"/>
      <c r="B294" s="7"/>
      <c r="C294" s="7"/>
      <c r="D294" s="7"/>
      <c r="E294" s="7"/>
      <c r="F294" s="7"/>
      <c r="H294" s="5"/>
      <c r="J294" s="5"/>
      <c r="L294" s="5"/>
      <c r="N294" s="5"/>
      <c r="P294" s="6" t="str">
        <f t="shared" si="127"/>
        <v>N</v>
      </c>
      <c r="Q294" t="s">
        <v>4028</v>
      </c>
      <c r="R294" t="str">
        <f t="shared" si="131"/>
        <v>N</v>
      </c>
      <c r="S294" t="s">
        <v>4029</v>
      </c>
      <c r="T294" t="str">
        <f t="shared" si="130"/>
        <v>N</v>
      </c>
      <c r="U294" t="s">
        <v>4030</v>
      </c>
      <c r="V294" s="6" t="str">
        <f t="shared" si="128"/>
        <v>N</v>
      </c>
      <c r="W294" t="s">
        <v>4031</v>
      </c>
    </row>
    <row r="295" spans="1:23" x14ac:dyDescent="0.4">
      <c r="A295" s="7"/>
      <c r="B295" s="7"/>
      <c r="C295" s="7"/>
      <c r="D295" s="7"/>
      <c r="E295" s="7"/>
      <c r="F295" s="7"/>
      <c r="H295" s="5"/>
      <c r="J295" s="5"/>
      <c r="L295" s="5"/>
      <c r="N295" s="5"/>
      <c r="P295" s="6" t="str">
        <f t="shared" si="127"/>
        <v>N</v>
      </c>
      <c r="Q295" t="s">
        <v>4032</v>
      </c>
      <c r="R295" t="str">
        <f t="shared" si="131"/>
        <v>N</v>
      </c>
      <c r="S295" t="s">
        <v>4033</v>
      </c>
      <c r="T295" t="str">
        <f t="shared" si="130"/>
        <v>N</v>
      </c>
      <c r="U295" t="s">
        <v>4034</v>
      </c>
      <c r="V295" s="6" t="str">
        <f t="shared" si="128"/>
        <v>N</v>
      </c>
      <c r="W295" t="s">
        <v>4035</v>
      </c>
    </row>
    <row r="296" spans="1:23" x14ac:dyDescent="0.4">
      <c r="A296" s="7"/>
      <c r="B296" s="7"/>
      <c r="C296" s="7"/>
      <c r="D296" s="7"/>
      <c r="E296" s="7"/>
      <c r="F296" s="7"/>
      <c r="H296" s="5"/>
      <c r="J296" s="5"/>
      <c r="L296" s="5"/>
      <c r="N296" s="5"/>
      <c r="P296" s="6" t="str">
        <f t="shared" si="127"/>
        <v>N</v>
      </c>
      <c r="Q296" t="s">
        <v>4036</v>
      </c>
      <c r="R296" t="str">
        <f t="shared" si="131"/>
        <v>N</v>
      </c>
      <c r="S296" t="s">
        <v>4037</v>
      </c>
      <c r="T296" t="str">
        <f t="shared" si="130"/>
        <v>N</v>
      </c>
      <c r="U296" t="s">
        <v>4038</v>
      </c>
      <c r="V296" s="6" t="str">
        <f t="shared" si="128"/>
        <v>N</v>
      </c>
      <c r="W296" t="s">
        <v>4039</v>
      </c>
    </row>
    <row r="297" spans="1:23" x14ac:dyDescent="0.4">
      <c r="A297" s="7"/>
      <c r="B297" s="7"/>
      <c r="C297" s="7"/>
      <c r="D297" s="7"/>
      <c r="E297" s="7"/>
      <c r="F297" s="7"/>
      <c r="H297" s="5"/>
      <c r="J297" s="5"/>
      <c r="L297" s="5"/>
      <c r="N297" s="5"/>
      <c r="P297" s="6" t="str">
        <f t="shared" si="127"/>
        <v>N</v>
      </c>
      <c r="Q297" t="s">
        <v>4040</v>
      </c>
      <c r="R297" t="str">
        <f t="shared" si="131"/>
        <v>N</v>
      </c>
      <c r="S297" t="s">
        <v>4041</v>
      </c>
      <c r="T297" t="str">
        <f t="shared" si="130"/>
        <v>N</v>
      </c>
      <c r="U297" t="s">
        <v>4042</v>
      </c>
      <c r="V297" s="6" t="str">
        <f t="shared" si="128"/>
        <v>N</v>
      </c>
      <c r="W297" t="s">
        <v>4043</v>
      </c>
    </row>
    <row r="298" spans="1:23" x14ac:dyDescent="0.4">
      <c r="A298" s="7"/>
      <c r="B298" s="7"/>
      <c r="C298" s="7"/>
      <c r="D298" s="7"/>
      <c r="E298" s="7"/>
      <c r="F298" s="7"/>
      <c r="H298" s="5"/>
      <c r="J298" s="5"/>
      <c r="L298" s="5"/>
      <c r="N298" s="5"/>
      <c r="P298" s="6" t="str">
        <f t="shared" si="127"/>
        <v>N</v>
      </c>
      <c r="Q298" t="s">
        <v>4044</v>
      </c>
      <c r="R298" t="str">
        <f t="shared" si="131"/>
        <v>N</v>
      </c>
      <c r="S298" t="s">
        <v>4045</v>
      </c>
      <c r="T298" t="str">
        <f t="shared" si="130"/>
        <v>N</v>
      </c>
      <c r="U298" t="s">
        <v>4046</v>
      </c>
      <c r="V298" s="6" t="str">
        <f t="shared" si="128"/>
        <v>N</v>
      </c>
      <c r="W298" t="s">
        <v>4047</v>
      </c>
    </row>
    <row r="299" spans="1:23" x14ac:dyDescent="0.4">
      <c r="A299" s="7"/>
      <c r="B299" s="7"/>
      <c r="C299" s="7"/>
      <c r="D299" s="7"/>
      <c r="E299" s="7"/>
      <c r="F299" s="7"/>
      <c r="H299" s="5"/>
      <c r="J299" s="5"/>
      <c r="L299" s="5"/>
      <c r="N299" s="5"/>
      <c r="P299" s="6" t="str">
        <f t="shared" si="127"/>
        <v>N</v>
      </c>
      <c r="Q299" t="s">
        <v>4048</v>
      </c>
      <c r="R299" t="str">
        <f t="shared" si="131"/>
        <v>N</v>
      </c>
      <c r="S299" t="s">
        <v>4049</v>
      </c>
      <c r="T299" t="str">
        <f t="shared" si="130"/>
        <v>N</v>
      </c>
      <c r="U299" t="s">
        <v>4050</v>
      </c>
      <c r="V299" s="6" t="str">
        <f t="shared" si="128"/>
        <v>N</v>
      </c>
      <c r="W299" t="s">
        <v>4051</v>
      </c>
    </row>
    <row r="300" spans="1:23" x14ac:dyDescent="0.4">
      <c r="A300" s="7"/>
      <c r="B300" s="7"/>
      <c r="C300" s="7"/>
      <c r="D300" s="7"/>
      <c r="E300" s="7"/>
      <c r="F300" s="7"/>
      <c r="H300" s="5"/>
      <c r="J300" s="5"/>
      <c r="L300" s="5"/>
      <c r="N300" s="5"/>
      <c r="P300" s="6" t="str">
        <f t="shared" si="127"/>
        <v>N</v>
      </c>
      <c r="Q300" t="s">
        <v>4052</v>
      </c>
      <c r="R300" t="str">
        <f t="shared" si="131"/>
        <v>N</v>
      </c>
      <c r="S300" t="s">
        <v>4053</v>
      </c>
      <c r="T300" t="str">
        <f t="shared" si="130"/>
        <v>N</v>
      </c>
      <c r="U300" t="s">
        <v>4054</v>
      </c>
      <c r="V300" s="6" t="str">
        <f t="shared" si="128"/>
        <v>N</v>
      </c>
      <c r="W300" t="s">
        <v>4055</v>
      </c>
    </row>
    <row r="301" spans="1:23" x14ac:dyDescent="0.4">
      <c r="A301" s="7"/>
      <c r="B301" s="7"/>
      <c r="C301" s="7"/>
      <c r="D301" s="7"/>
      <c r="E301" s="7"/>
      <c r="F301" s="7"/>
      <c r="H301" s="5"/>
      <c r="J301" s="5"/>
      <c r="L301" s="5"/>
      <c r="N301" s="5"/>
      <c r="P301" s="6" t="str">
        <f t="shared" si="127"/>
        <v>N</v>
      </c>
      <c r="Q301" t="s">
        <v>4056</v>
      </c>
      <c r="R301" t="str">
        <f t="shared" si="131"/>
        <v>N</v>
      </c>
      <c r="S301" t="s">
        <v>4057</v>
      </c>
      <c r="T301" t="str">
        <f t="shared" si="130"/>
        <v>N</v>
      </c>
      <c r="U301" t="s">
        <v>4058</v>
      </c>
      <c r="V301" s="6" t="str">
        <f t="shared" si="128"/>
        <v>N</v>
      </c>
      <c r="W301" t="s">
        <v>4059</v>
      </c>
    </row>
    <row r="302" spans="1:23" x14ac:dyDescent="0.4">
      <c r="A302" s="7"/>
      <c r="B302" s="7"/>
      <c r="C302" s="7"/>
      <c r="D302" s="7"/>
      <c r="E302" s="7"/>
      <c r="F302" s="7"/>
      <c r="H302" s="5"/>
      <c r="J302" s="5"/>
      <c r="L302" s="5"/>
      <c r="N302" s="5"/>
      <c r="P302" s="6" t="str">
        <f t="shared" si="127"/>
        <v>N</v>
      </c>
      <c r="Q302" t="s">
        <v>4060</v>
      </c>
      <c r="R302" t="str">
        <f t="shared" si="131"/>
        <v>N</v>
      </c>
      <c r="S302" t="s">
        <v>4061</v>
      </c>
      <c r="T302" t="str">
        <f t="shared" si="130"/>
        <v>N</v>
      </c>
      <c r="U302" t="s">
        <v>4062</v>
      </c>
      <c r="V302" s="6" t="str">
        <f t="shared" si="128"/>
        <v>N</v>
      </c>
      <c r="W302" t="s">
        <v>4063</v>
      </c>
    </row>
    <row r="303" spans="1:23" x14ac:dyDescent="0.4">
      <c r="A303" s="7"/>
      <c r="B303" s="7"/>
      <c r="C303" s="7"/>
      <c r="D303" s="7"/>
      <c r="E303" s="7"/>
      <c r="F303" s="7"/>
      <c r="H303" s="5"/>
      <c r="J303" s="5"/>
      <c r="L303" s="5"/>
      <c r="N303" s="5"/>
      <c r="P303" s="6" t="str">
        <f t="shared" si="127"/>
        <v>N</v>
      </c>
      <c r="Q303" t="s">
        <v>4064</v>
      </c>
      <c r="R303" t="str">
        <f t="shared" si="131"/>
        <v>N</v>
      </c>
      <c r="S303" t="s">
        <v>4065</v>
      </c>
      <c r="T303" t="str">
        <f t="shared" si="130"/>
        <v>N</v>
      </c>
      <c r="U303" t="s">
        <v>4066</v>
      </c>
      <c r="V303" s="6" t="str">
        <f t="shared" si="128"/>
        <v>N</v>
      </c>
      <c r="W303" t="s">
        <v>4067</v>
      </c>
    </row>
    <row r="304" spans="1:23" x14ac:dyDescent="0.4">
      <c r="A304" s="7"/>
      <c r="B304" s="7"/>
      <c r="C304" s="7"/>
      <c r="D304" s="7"/>
      <c r="E304" s="7"/>
      <c r="F304" s="7"/>
      <c r="H304" s="5"/>
      <c r="J304" s="5"/>
      <c r="L304" s="5"/>
      <c r="N304" s="5"/>
      <c r="P304" s="6" t="str">
        <f t="shared" si="127"/>
        <v>N</v>
      </c>
      <c r="Q304" t="s">
        <v>4068</v>
      </c>
      <c r="R304" t="str">
        <f t="shared" si="131"/>
        <v>N</v>
      </c>
      <c r="S304" t="s">
        <v>4069</v>
      </c>
      <c r="T304" t="str">
        <f t="shared" si="130"/>
        <v>N</v>
      </c>
      <c r="U304" t="s">
        <v>4070</v>
      </c>
      <c r="V304" s="6" t="str">
        <f t="shared" si="128"/>
        <v>N</v>
      </c>
      <c r="W304" t="s">
        <v>4071</v>
      </c>
    </row>
    <row r="305" spans="1:23" x14ac:dyDescent="0.4">
      <c r="A305" s="7"/>
      <c r="B305" s="7"/>
      <c r="C305" s="7"/>
      <c r="D305" s="7"/>
      <c r="E305" s="7"/>
      <c r="F305" s="7"/>
      <c r="H305" s="5"/>
      <c r="J305" s="5"/>
      <c r="L305" s="5"/>
      <c r="N305" s="5"/>
      <c r="P305" s="6" t="str">
        <f t="shared" si="127"/>
        <v>N</v>
      </c>
      <c r="Q305" t="s">
        <v>4072</v>
      </c>
      <c r="R305" t="str">
        <f t="shared" si="131"/>
        <v>N</v>
      </c>
      <c r="S305" t="s">
        <v>4073</v>
      </c>
      <c r="T305" t="str">
        <f t="shared" si="130"/>
        <v>N</v>
      </c>
      <c r="U305" t="s">
        <v>4074</v>
      </c>
      <c r="V305" s="6" t="str">
        <f t="shared" si="128"/>
        <v>N</v>
      </c>
      <c r="W305" t="s">
        <v>4075</v>
      </c>
    </row>
    <row r="306" spans="1:23" x14ac:dyDescent="0.4">
      <c r="A306" s="7"/>
      <c r="B306" s="7"/>
      <c r="C306" s="7"/>
      <c r="D306" s="7"/>
      <c r="E306" s="7"/>
      <c r="F306" s="7"/>
      <c r="H306" s="5"/>
      <c r="J306" s="5"/>
      <c r="L306" s="5"/>
      <c r="N306" s="5"/>
      <c r="P306" s="6" t="str">
        <f t="shared" si="127"/>
        <v>N</v>
      </c>
      <c r="Q306" t="s">
        <v>4076</v>
      </c>
      <c r="R306" t="str">
        <f t="shared" si="131"/>
        <v>N</v>
      </c>
      <c r="S306" t="s">
        <v>4077</v>
      </c>
      <c r="T306" t="str">
        <f t="shared" si="130"/>
        <v>N</v>
      </c>
      <c r="U306" t="s">
        <v>4078</v>
      </c>
      <c r="V306" s="6" t="str">
        <f t="shared" si="128"/>
        <v>N</v>
      </c>
      <c r="W306" t="s">
        <v>4079</v>
      </c>
    </row>
    <row r="307" spans="1:23" x14ac:dyDescent="0.4">
      <c r="A307" s="7"/>
      <c r="B307" s="7"/>
      <c r="C307" s="7"/>
      <c r="D307" s="7"/>
      <c r="E307" s="7"/>
      <c r="F307" s="7"/>
      <c r="H307" s="5"/>
      <c r="J307" s="5"/>
      <c r="L307" s="5"/>
      <c r="N307" s="5"/>
      <c r="P307" s="6" t="str">
        <f t="shared" ref="P307:P336" si="132">IF(EXACT(Q307,W307)=TRUE,"Y","N")</f>
        <v>N</v>
      </c>
      <c r="Q307" t="s">
        <v>4080</v>
      </c>
      <c r="R307" t="str">
        <f t="shared" si="131"/>
        <v>N</v>
      </c>
      <c r="S307" t="s">
        <v>4081</v>
      </c>
      <c r="T307" t="str">
        <f t="shared" si="130"/>
        <v>N</v>
      </c>
      <c r="U307" t="s">
        <v>4082</v>
      </c>
      <c r="V307" s="6" t="str">
        <f t="shared" ref="V307:V370" si="133">IF(EXACT(W307,M307)=TRUE,"Y","N")</f>
        <v>N</v>
      </c>
      <c r="W307" t="s">
        <v>4083</v>
      </c>
    </row>
    <row r="308" spans="1:23" x14ac:dyDescent="0.4">
      <c r="A308" s="7"/>
      <c r="B308" s="7"/>
      <c r="C308" s="7"/>
      <c r="D308" s="7"/>
      <c r="E308" s="7"/>
      <c r="F308" s="7"/>
      <c r="H308" s="5"/>
      <c r="J308" s="5"/>
      <c r="L308" s="5"/>
      <c r="N308" s="5"/>
      <c r="P308" s="6" t="str">
        <f t="shared" si="132"/>
        <v>N</v>
      </c>
      <c r="Q308" t="s">
        <v>4084</v>
      </c>
      <c r="R308" t="str">
        <f t="shared" si="131"/>
        <v>N</v>
      </c>
      <c r="S308" t="s">
        <v>4085</v>
      </c>
      <c r="T308" t="str">
        <f t="shared" si="130"/>
        <v>N</v>
      </c>
      <c r="U308" t="s">
        <v>4086</v>
      </c>
      <c r="V308" s="6" t="str">
        <f t="shared" si="133"/>
        <v>N</v>
      </c>
      <c r="W308" t="s">
        <v>4087</v>
      </c>
    </row>
    <row r="309" spans="1:23" x14ac:dyDescent="0.4">
      <c r="A309" s="7"/>
      <c r="B309" s="7"/>
      <c r="C309" s="7"/>
      <c r="D309" s="7"/>
      <c r="E309" s="7"/>
      <c r="F309" s="7"/>
      <c r="H309" s="5"/>
      <c r="J309" s="5"/>
      <c r="L309" s="5"/>
      <c r="N309" s="5"/>
      <c r="P309" s="6" t="str">
        <f t="shared" si="132"/>
        <v>N</v>
      </c>
      <c r="Q309" t="s">
        <v>4005</v>
      </c>
      <c r="R309" t="str">
        <f t="shared" si="131"/>
        <v>N</v>
      </c>
      <c r="S309" t="s">
        <v>4088</v>
      </c>
      <c r="T309" t="str">
        <f t="shared" si="130"/>
        <v>N</v>
      </c>
      <c r="U309" t="s">
        <v>4089</v>
      </c>
      <c r="V309" s="6" t="str">
        <f t="shared" si="133"/>
        <v>N</v>
      </c>
      <c r="W309" t="s">
        <v>4090</v>
      </c>
    </row>
    <row r="310" spans="1:23" x14ac:dyDescent="0.4">
      <c r="A310" s="7"/>
      <c r="B310" s="7"/>
      <c r="C310" s="7"/>
      <c r="D310" s="7"/>
      <c r="E310" s="7"/>
      <c r="F310" s="7"/>
      <c r="H310" s="5"/>
      <c r="J310" s="5"/>
      <c r="L310" s="5"/>
      <c r="N310" s="5"/>
      <c r="P310" s="6" t="str">
        <f t="shared" si="132"/>
        <v>N</v>
      </c>
      <c r="Q310" t="s">
        <v>4091</v>
      </c>
      <c r="R310" t="str">
        <f t="shared" si="131"/>
        <v>N</v>
      </c>
      <c r="S310" t="s">
        <v>4078</v>
      </c>
      <c r="T310" t="str">
        <f t="shared" si="130"/>
        <v>N</v>
      </c>
      <c r="U310" t="s">
        <v>3984</v>
      </c>
      <c r="V310" s="6" t="str">
        <f t="shared" si="133"/>
        <v>N</v>
      </c>
      <c r="W310" t="s">
        <v>4092</v>
      </c>
    </row>
    <row r="311" spans="1:23" x14ac:dyDescent="0.4">
      <c r="A311" s="7"/>
      <c r="B311" s="7"/>
      <c r="C311" s="7"/>
      <c r="D311" s="7"/>
      <c r="E311" s="7"/>
      <c r="F311" s="7"/>
      <c r="H311" s="5"/>
      <c r="J311" s="5"/>
      <c r="L311" s="5"/>
      <c r="N311" s="5"/>
      <c r="P311" s="6" t="str">
        <f t="shared" si="132"/>
        <v>N</v>
      </c>
      <c r="Q311" t="s">
        <v>4093</v>
      </c>
      <c r="R311" t="str">
        <f t="shared" si="131"/>
        <v>N</v>
      </c>
      <c r="S311" t="s">
        <v>4094</v>
      </c>
      <c r="T311" t="str">
        <f t="shared" si="130"/>
        <v>N</v>
      </c>
      <c r="U311" t="s">
        <v>4026</v>
      </c>
      <c r="V311" s="6" t="str">
        <f t="shared" si="133"/>
        <v>N</v>
      </c>
      <c r="W311" t="s">
        <v>4095</v>
      </c>
    </row>
    <row r="312" spans="1:23" x14ac:dyDescent="0.4">
      <c r="A312" s="7"/>
      <c r="B312" s="7"/>
      <c r="C312" s="7"/>
      <c r="D312" s="7"/>
      <c r="E312" s="7"/>
      <c r="F312" s="7"/>
      <c r="H312" s="5"/>
      <c r="J312" s="5"/>
      <c r="N312" s="5"/>
      <c r="P312" s="6" t="str">
        <f t="shared" si="132"/>
        <v>N</v>
      </c>
      <c r="Q312" t="s">
        <v>4096</v>
      </c>
      <c r="R312" t="str">
        <f t="shared" si="131"/>
        <v>N</v>
      </c>
      <c r="S312" t="s">
        <v>4097</v>
      </c>
      <c r="V312" s="6" t="str">
        <f t="shared" si="133"/>
        <v>N</v>
      </c>
      <c r="W312" t="s">
        <v>4098</v>
      </c>
    </row>
    <row r="313" spans="1:23" x14ac:dyDescent="0.4">
      <c r="A313" s="7"/>
      <c r="B313" s="7"/>
      <c r="C313" s="7"/>
      <c r="D313" s="7"/>
      <c r="E313" s="7"/>
      <c r="F313" s="7"/>
      <c r="H313" s="5"/>
      <c r="J313" s="5"/>
      <c r="N313" s="5"/>
      <c r="P313" s="6" t="str">
        <f t="shared" si="132"/>
        <v>N</v>
      </c>
      <c r="Q313" t="s">
        <v>4099</v>
      </c>
      <c r="R313" t="str">
        <f t="shared" si="131"/>
        <v>N</v>
      </c>
      <c r="S313" t="s">
        <v>4100</v>
      </c>
      <c r="V313" s="6" t="str">
        <f t="shared" si="133"/>
        <v>N</v>
      </c>
      <c r="W313" t="s">
        <v>4101</v>
      </c>
    </row>
    <row r="314" spans="1:23" x14ac:dyDescent="0.4">
      <c r="A314" s="7"/>
      <c r="B314" s="7"/>
      <c r="C314" s="7"/>
      <c r="D314" s="7"/>
      <c r="E314" s="7"/>
      <c r="F314" s="7"/>
      <c r="H314" s="5"/>
      <c r="J314" s="5"/>
      <c r="N314" s="5"/>
      <c r="P314" s="6" t="str">
        <f t="shared" si="132"/>
        <v>N</v>
      </c>
      <c r="Q314" t="s">
        <v>4102</v>
      </c>
      <c r="R314" t="str">
        <f t="shared" si="131"/>
        <v>N</v>
      </c>
      <c r="S314" t="s">
        <v>4103</v>
      </c>
      <c r="V314" s="6" t="str">
        <f t="shared" si="133"/>
        <v>N</v>
      </c>
      <c r="W314" t="s">
        <v>4104</v>
      </c>
    </row>
    <row r="315" spans="1:23" x14ac:dyDescent="0.4">
      <c r="A315" s="7"/>
      <c r="B315" s="7"/>
      <c r="C315" s="7"/>
      <c r="D315" s="7"/>
      <c r="E315" s="7"/>
      <c r="F315" s="7"/>
      <c r="H315" s="5"/>
      <c r="J315" s="5"/>
      <c r="N315" s="5"/>
      <c r="P315" s="6" t="str">
        <f t="shared" si="132"/>
        <v>N</v>
      </c>
      <c r="Q315" t="s">
        <v>4105</v>
      </c>
      <c r="R315" t="str">
        <f t="shared" si="131"/>
        <v>N</v>
      </c>
      <c r="S315" t="s">
        <v>4106</v>
      </c>
      <c r="V315" s="6" t="str">
        <f t="shared" si="133"/>
        <v>N</v>
      </c>
      <c r="W315" t="s">
        <v>4107</v>
      </c>
    </row>
    <row r="316" spans="1:23" x14ac:dyDescent="0.4">
      <c r="A316" s="7"/>
      <c r="B316" s="7"/>
      <c r="C316" s="7"/>
      <c r="D316" s="7"/>
      <c r="E316" s="7"/>
      <c r="F316" s="7"/>
      <c r="H316" s="5"/>
      <c r="J316" s="5"/>
      <c r="N316" s="5"/>
      <c r="P316" s="6" t="str">
        <f t="shared" si="132"/>
        <v>N</v>
      </c>
      <c r="Q316" t="s">
        <v>4108</v>
      </c>
      <c r="R316" t="str">
        <f t="shared" si="131"/>
        <v>N</v>
      </c>
      <c r="S316" t="s">
        <v>4109</v>
      </c>
      <c r="V316" s="6" t="str">
        <f t="shared" si="133"/>
        <v>N</v>
      </c>
      <c r="W316" t="s">
        <v>4110</v>
      </c>
    </row>
    <row r="317" spans="1:23" x14ac:dyDescent="0.4">
      <c r="A317" s="7"/>
      <c r="B317" s="7"/>
      <c r="C317" s="7"/>
      <c r="D317" s="7"/>
      <c r="E317" s="7"/>
      <c r="F317" s="7"/>
      <c r="H317" s="5"/>
      <c r="J317" s="5"/>
      <c r="N317" s="5"/>
      <c r="P317" s="6" t="str">
        <f t="shared" si="132"/>
        <v>N</v>
      </c>
      <c r="Q317" t="s">
        <v>4111</v>
      </c>
      <c r="R317" t="str">
        <f t="shared" si="131"/>
        <v>N</v>
      </c>
      <c r="S317" t="s">
        <v>4112</v>
      </c>
      <c r="V317" s="6" t="str">
        <f t="shared" si="133"/>
        <v>N</v>
      </c>
      <c r="W317" t="s">
        <v>4113</v>
      </c>
    </row>
    <row r="318" spans="1:23" x14ac:dyDescent="0.4">
      <c r="A318" s="7"/>
      <c r="B318" s="7"/>
      <c r="C318" s="7"/>
      <c r="D318" s="7"/>
      <c r="E318" s="7"/>
      <c r="F318" s="7"/>
      <c r="H318" s="5"/>
      <c r="J318" s="5"/>
      <c r="N318" s="5"/>
      <c r="P318" s="6" t="str">
        <f t="shared" si="132"/>
        <v>N</v>
      </c>
      <c r="Q318" t="s">
        <v>4114</v>
      </c>
      <c r="R318" t="str">
        <f t="shared" si="131"/>
        <v>N</v>
      </c>
      <c r="S318" t="s">
        <v>4115</v>
      </c>
      <c r="V318" s="6" t="str">
        <f t="shared" si="133"/>
        <v>N</v>
      </c>
      <c r="W318" t="s">
        <v>4116</v>
      </c>
    </row>
    <row r="319" spans="1:23" x14ac:dyDescent="0.4">
      <c r="A319" s="7"/>
      <c r="B319" s="7"/>
      <c r="C319" s="7"/>
      <c r="D319" s="7"/>
      <c r="E319" s="7"/>
      <c r="F319" s="7"/>
      <c r="H319" s="5"/>
      <c r="J319" s="5"/>
      <c r="N319" s="5"/>
      <c r="P319" s="6" t="str">
        <f t="shared" si="132"/>
        <v>N</v>
      </c>
      <c r="Q319" t="s">
        <v>4117</v>
      </c>
      <c r="R319" t="str">
        <f t="shared" si="131"/>
        <v>N</v>
      </c>
      <c r="S319" t="s">
        <v>4118</v>
      </c>
      <c r="V319" s="6" t="str">
        <f t="shared" si="133"/>
        <v>N</v>
      </c>
      <c r="W319" t="s">
        <v>3902</v>
      </c>
    </row>
    <row r="320" spans="1:23" x14ac:dyDescent="0.4">
      <c r="A320" s="7"/>
      <c r="B320" s="7"/>
      <c r="C320" s="7"/>
      <c r="D320" s="7"/>
      <c r="E320" s="7"/>
      <c r="F320" s="7"/>
      <c r="H320" s="5"/>
      <c r="J320" s="5"/>
      <c r="N320" s="5"/>
      <c r="P320" s="6" t="str">
        <f t="shared" si="132"/>
        <v>N</v>
      </c>
      <c r="Q320" t="s">
        <v>4119</v>
      </c>
      <c r="R320" t="str">
        <f t="shared" si="131"/>
        <v>N</v>
      </c>
      <c r="S320" t="s">
        <v>4120</v>
      </c>
      <c r="V320" s="6" t="str">
        <f t="shared" si="133"/>
        <v>N</v>
      </c>
      <c r="W320" t="s">
        <v>4121</v>
      </c>
    </row>
    <row r="321" spans="1:23" x14ac:dyDescent="0.4">
      <c r="A321" s="7"/>
      <c r="B321" s="7"/>
      <c r="C321" s="7"/>
      <c r="D321" s="7"/>
      <c r="E321" s="7"/>
      <c r="F321" s="7"/>
      <c r="H321" s="5"/>
      <c r="J321" s="5"/>
      <c r="N321" s="5"/>
      <c r="P321" s="6" t="str">
        <f t="shared" si="132"/>
        <v>N</v>
      </c>
      <c r="Q321" t="s">
        <v>4122</v>
      </c>
      <c r="R321" t="str">
        <f t="shared" si="131"/>
        <v>N</v>
      </c>
      <c r="S321" t="s">
        <v>4123</v>
      </c>
      <c r="V321" s="6" t="str">
        <f t="shared" si="133"/>
        <v>N</v>
      </c>
      <c r="W321" t="s">
        <v>4124</v>
      </c>
    </row>
    <row r="322" spans="1:23" x14ac:dyDescent="0.4">
      <c r="A322" s="7"/>
      <c r="B322" s="7"/>
      <c r="C322" s="7"/>
      <c r="D322" s="7"/>
      <c r="E322" s="7"/>
      <c r="F322" s="7"/>
      <c r="H322" s="5"/>
      <c r="J322" s="5"/>
      <c r="N322" s="5"/>
      <c r="P322" s="6" t="str">
        <f t="shared" si="132"/>
        <v>N</v>
      </c>
      <c r="Q322" t="s">
        <v>4125</v>
      </c>
      <c r="R322" t="str">
        <f t="shared" si="131"/>
        <v>N</v>
      </c>
      <c r="S322" t="s">
        <v>4126</v>
      </c>
      <c r="V322" s="6" t="str">
        <f t="shared" si="133"/>
        <v>N</v>
      </c>
      <c r="W322" t="s">
        <v>4127</v>
      </c>
    </row>
    <row r="323" spans="1:23" x14ac:dyDescent="0.4">
      <c r="A323" s="7"/>
      <c r="B323" s="7"/>
      <c r="C323" s="7"/>
      <c r="D323" s="7"/>
      <c r="E323" s="7"/>
      <c r="F323" s="7"/>
      <c r="H323" s="5"/>
      <c r="J323" s="5"/>
      <c r="N323" s="5"/>
      <c r="P323" s="6" t="str">
        <f t="shared" si="132"/>
        <v>N</v>
      </c>
      <c r="Q323" t="s">
        <v>4128</v>
      </c>
      <c r="R323" t="str">
        <f t="shared" si="131"/>
        <v>N</v>
      </c>
      <c r="S323" t="s">
        <v>4129</v>
      </c>
      <c r="V323" s="6" t="str">
        <f t="shared" si="133"/>
        <v>N</v>
      </c>
      <c r="W323" t="s">
        <v>4130</v>
      </c>
    </row>
    <row r="324" spans="1:23" x14ac:dyDescent="0.4">
      <c r="A324" s="7"/>
      <c r="B324" s="7"/>
      <c r="C324" s="7"/>
      <c r="D324" s="7"/>
      <c r="E324" s="7"/>
      <c r="F324" s="7"/>
      <c r="H324" s="5"/>
      <c r="J324" s="5"/>
      <c r="N324" s="5"/>
      <c r="P324" s="6" t="str">
        <f t="shared" si="132"/>
        <v>N</v>
      </c>
      <c r="Q324" t="s">
        <v>4131</v>
      </c>
      <c r="R324" t="str">
        <f t="shared" si="131"/>
        <v>N</v>
      </c>
      <c r="S324" t="s">
        <v>4132</v>
      </c>
      <c r="V324" s="6" t="str">
        <f t="shared" si="133"/>
        <v>N</v>
      </c>
      <c r="W324" t="s">
        <v>4133</v>
      </c>
    </row>
    <row r="325" spans="1:23" x14ac:dyDescent="0.4">
      <c r="A325" s="7"/>
      <c r="B325" s="7"/>
      <c r="C325" s="7"/>
      <c r="D325" s="7"/>
      <c r="E325" s="7"/>
      <c r="F325" s="7"/>
      <c r="H325" s="5"/>
      <c r="J325" s="5"/>
      <c r="N325" s="5"/>
      <c r="P325" s="6" t="str">
        <f t="shared" si="132"/>
        <v>N</v>
      </c>
      <c r="Q325" t="s">
        <v>1656</v>
      </c>
      <c r="R325" t="str">
        <f t="shared" si="131"/>
        <v>N</v>
      </c>
      <c r="S325" t="s">
        <v>4134</v>
      </c>
      <c r="V325" s="6" t="str">
        <f t="shared" si="133"/>
        <v>N</v>
      </c>
      <c r="W325" t="s">
        <v>4135</v>
      </c>
    </row>
    <row r="326" spans="1:23" x14ac:dyDescent="0.4">
      <c r="A326" s="7"/>
      <c r="B326" s="7"/>
      <c r="C326" s="7"/>
      <c r="D326" s="7"/>
      <c r="E326" s="7"/>
      <c r="F326" s="7"/>
      <c r="H326" s="5"/>
      <c r="J326" s="5"/>
      <c r="N326" s="5"/>
      <c r="P326" s="6" t="str">
        <f t="shared" si="132"/>
        <v>N</v>
      </c>
      <c r="Q326" t="s">
        <v>4136</v>
      </c>
      <c r="R326" t="str">
        <f t="shared" si="131"/>
        <v>N</v>
      </c>
      <c r="S326" t="s">
        <v>4137</v>
      </c>
      <c r="V326" s="6" t="str">
        <f t="shared" si="133"/>
        <v>N</v>
      </c>
      <c r="W326" t="s">
        <v>4138</v>
      </c>
    </row>
    <row r="327" spans="1:23" x14ac:dyDescent="0.4">
      <c r="A327" s="7"/>
      <c r="B327" s="7"/>
      <c r="C327" s="7"/>
      <c r="D327" s="7"/>
      <c r="E327" s="7"/>
      <c r="F327" s="7"/>
      <c r="H327" s="5"/>
      <c r="J327" s="5"/>
      <c r="N327" s="5"/>
      <c r="P327" s="6" t="str">
        <f t="shared" si="132"/>
        <v>N</v>
      </c>
      <c r="Q327" t="s">
        <v>4139</v>
      </c>
      <c r="R327" t="str">
        <f t="shared" si="131"/>
        <v>N</v>
      </c>
      <c r="S327" t="s">
        <v>4140</v>
      </c>
      <c r="V327" s="6" t="str">
        <f t="shared" si="133"/>
        <v>N</v>
      </c>
      <c r="W327" t="s">
        <v>4141</v>
      </c>
    </row>
    <row r="328" spans="1:23" x14ac:dyDescent="0.4">
      <c r="A328" s="7"/>
      <c r="B328" s="7"/>
      <c r="C328" s="7"/>
      <c r="D328" s="7"/>
      <c r="E328" s="7"/>
      <c r="F328" s="7"/>
      <c r="H328" s="5"/>
      <c r="J328" s="5"/>
      <c r="N328" s="5"/>
      <c r="P328" s="6" t="str">
        <f t="shared" si="132"/>
        <v>N</v>
      </c>
      <c r="Q328" t="s">
        <v>4142</v>
      </c>
      <c r="R328" t="str">
        <f t="shared" si="131"/>
        <v>N</v>
      </c>
      <c r="S328" t="s">
        <v>4143</v>
      </c>
      <c r="V328" s="6" t="str">
        <f t="shared" si="133"/>
        <v>N</v>
      </c>
      <c r="W328" t="s">
        <v>4144</v>
      </c>
    </row>
    <row r="329" spans="1:23" x14ac:dyDescent="0.4">
      <c r="A329" s="7"/>
      <c r="B329" s="7"/>
      <c r="C329" s="7"/>
      <c r="D329" s="7"/>
      <c r="E329" s="7"/>
      <c r="F329" s="7"/>
      <c r="H329" s="5"/>
      <c r="J329" s="5"/>
      <c r="N329" s="5"/>
      <c r="P329" s="6" t="str">
        <f t="shared" si="132"/>
        <v>N</v>
      </c>
      <c r="Q329" t="s">
        <v>4145</v>
      </c>
      <c r="R329" t="str">
        <f t="shared" si="131"/>
        <v>N</v>
      </c>
      <c r="S329" t="s">
        <v>4146</v>
      </c>
      <c r="V329" s="6" t="str">
        <f t="shared" si="133"/>
        <v>N</v>
      </c>
      <c r="W329" t="s">
        <v>4147</v>
      </c>
    </row>
    <row r="330" spans="1:23" x14ac:dyDescent="0.4">
      <c r="A330" s="7"/>
      <c r="B330" s="7"/>
      <c r="C330" s="7"/>
      <c r="D330" s="7"/>
      <c r="E330" s="7"/>
      <c r="F330" s="7"/>
      <c r="H330" s="5"/>
      <c r="J330" s="5"/>
      <c r="N330" s="5"/>
      <c r="P330" s="6" t="str">
        <f t="shared" si="132"/>
        <v>N</v>
      </c>
      <c r="Q330" t="s">
        <v>4148</v>
      </c>
      <c r="R330" t="str">
        <f t="shared" si="131"/>
        <v>N</v>
      </c>
      <c r="S330" t="s">
        <v>4149</v>
      </c>
      <c r="V330" s="6" t="str">
        <f t="shared" si="133"/>
        <v>N</v>
      </c>
      <c r="W330" t="s">
        <v>4150</v>
      </c>
    </row>
    <row r="331" spans="1:23" x14ac:dyDescent="0.4">
      <c r="A331" s="7"/>
      <c r="B331" s="7"/>
      <c r="C331" s="7"/>
      <c r="D331" s="7"/>
      <c r="E331" s="7"/>
      <c r="F331" s="7"/>
      <c r="H331" s="5"/>
      <c r="J331" s="5"/>
      <c r="N331" s="5"/>
      <c r="P331" s="6" t="str">
        <f t="shared" si="132"/>
        <v>N</v>
      </c>
      <c r="Q331" t="s">
        <v>4151</v>
      </c>
      <c r="R331" t="str">
        <f t="shared" si="131"/>
        <v>N</v>
      </c>
      <c r="S331" t="s">
        <v>3708</v>
      </c>
      <c r="V331" s="6" t="str">
        <f t="shared" si="133"/>
        <v>N</v>
      </c>
      <c r="W331" t="s">
        <v>4152</v>
      </c>
    </row>
    <row r="332" spans="1:23" x14ac:dyDescent="0.4">
      <c r="A332" s="7"/>
      <c r="B332" s="7"/>
      <c r="C332" s="7"/>
      <c r="D332" s="7"/>
      <c r="E332" s="7"/>
      <c r="F332" s="7"/>
      <c r="H332" s="5"/>
      <c r="J332" s="5"/>
      <c r="N332" s="5"/>
      <c r="P332" s="6" t="str">
        <f t="shared" si="132"/>
        <v>N</v>
      </c>
      <c r="Q332" t="s">
        <v>3624</v>
      </c>
      <c r="R332" t="str">
        <f t="shared" si="131"/>
        <v>N</v>
      </c>
      <c r="S332" t="s">
        <v>4153</v>
      </c>
      <c r="V332" s="6" t="str">
        <f t="shared" si="133"/>
        <v>N</v>
      </c>
      <c r="W332" t="s">
        <v>4154</v>
      </c>
    </row>
    <row r="333" spans="1:23" x14ac:dyDescent="0.4">
      <c r="A333" s="7"/>
      <c r="B333" s="7"/>
      <c r="C333" s="7"/>
      <c r="D333" s="7"/>
      <c r="E333" s="7"/>
      <c r="F333" s="7"/>
      <c r="H333" s="5"/>
      <c r="J333" s="5"/>
      <c r="N333" s="5"/>
      <c r="P333" s="6" t="str">
        <f t="shared" si="132"/>
        <v>N</v>
      </c>
      <c r="Q333" t="s">
        <v>4155</v>
      </c>
      <c r="R333" t="str">
        <f t="shared" si="131"/>
        <v>N</v>
      </c>
      <c r="S333" t="s">
        <v>3621</v>
      </c>
      <c r="V333" s="6" t="str">
        <f t="shared" si="133"/>
        <v>N</v>
      </c>
      <c r="W333" t="s">
        <v>4156</v>
      </c>
    </row>
    <row r="334" spans="1:23" x14ac:dyDescent="0.4">
      <c r="A334" s="7"/>
      <c r="B334" s="7"/>
      <c r="C334" s="7"/>
      <c r="D334" s="7"/>
      <c r="E334" s="7"/>
      <c r="F334" s="7"/>
      <c r="H334" s="5"/>
      <c r="J334" s="5"/>
      <c r="N334" s="5"/>
      <c r="P334" s="6" t="str">
        <f t="shared" si="132"/>
        <v>N</v>
      </c>
      <c r="Q334" t="s">
        <v>2144</v>
      </c>
      <c r="R334" t="str">
        <f t="shared" si="131"/>
        <v>N</v>
      </c>
      <c r="S334" t="s">
        <v>4157</v>
      </c>
      <c r="V334" s="6" t="str">
        <f t="shared" si="133"/>
        <v>N</v>
      </c>
      <c r="W334" t="s">
        <v>4158</v>
      </c>
    </row>
    <row r="335" spans="1:23" x14ac:dyDescent="0.4">
      <c r="A335" s="7"/>
      <c r="B335" s="7"/>
      <c r="C335" s="7"/>
      <c r="D335" s="7"/>
      <c r="E335" s="7"/>
      <c r="F335" s="7"/>
      <c r="H335" s="5"/>
      <c r="J335" s="5"/>
      <c r="N335" s="5"/>
      <c r="P335" s="6" t="str">
        <f t="shared" si="132"/>
        <v>N</v>
      </c>
      <c r="Q335" t="s">
        <v>4159</v>
      </c>
      <c r="R335" t="str">
        <f t="shared" si="131"/>
        <v>N</v>
      </c>
      <c r="S335" t="s">
        <v>4160</v>
      </c>
      <c r="V335" s="6" t="str">
        <f t="shared" si="133"/>
        <v>N</v>
      </c>
      <c r="W335" t="s">
        <v>4161</v>
      </c>
    </row>
    <row r="336" spans="1:23" x14ac:dyDescent="0.4">
      <c r="A336" s="7"/>
      <c r="B336" s="7"/>
      <c r="C336" s="7"/>
      <c r="D336" s="7"/>
      <c r="E336" s="7"/>
      <c r="F336" s="7"/>
      <c r="H336" s="5"/>
      <c r="J336" s="5"/>
      <c r="N336" s="5"/>
      <c r="P336" s="6" t="str">
        <f t="shared" si="132"/>
        <v>N</v>
      </c>
      <c r="Q336" t="s">
        <v>4162</v>
      </c>
      <c r="R336" t="str">
        <f t="shared" si="131"/>
        <v>N</v>
      </c>
      <c r="S336" t="s">
        <v>4163</v>
      </c>
      <c r="V336" s="6" t="str">
        <f t="shared" si="133"/>
        <v>N</v>
      </c>
      <c r="W336" t="s">
        <v>4164</v>
      </c>
    </row>
    <row r="337" spans="1:23" x14ac:dyDescent="0.4">
      <c r="A337" s="7"/>
      <c r="B337" s="7"/>
      <c r="C337" s="7"/>
      <c r="D337" s="7"/>
      <c r="E337" s="7"/>
      <c r="F337" s="7"/>
      <c r="J337" s="5"/>
      <c r="N337" s="5"/>
      <c r="R337" t="str">
        <f t="shared" si="131"/>
        <v>N</v>
      </c>
      <c r="S337" t="s">
        <v>4165</v>
      </c>
      <c r="V337" s="6" t="str">
        <f t="shared" si="133"/>
        <v>N</v>
      </c>
      <c r="W337" t="s">
        <v>4166</v>
      </c>
    </row>
    <row r="338" spans="1:23" x14ac:dyDescent="0.4">
      <c r="A338" s="7"/>
      <c r="B338" s="7"/>
      <c r="C338" s="7"/>
      <c r="D338" s="7"/>
      <c r="E338" s="7"/>
      <c r="F338" s="7"/>
      <c r="J338" s="5"/>
      <c r="N338" s="5"/>
      <c r="R338" t="str">
        <f t="shared" si="131"/>
        <v>N</v>
      </c>
      <c r="S338" t="s">
        <v>4167</v>
      </c>
      <c r="V338" s="6" t="str">
        <f t="shared" si="133"/>
        <v>N</v>
      </c>
      <c r="W338" t="s">
        <v>4168</v>
      </c>
    </row>
    <row r="339" spans="1:23" x14ac:dyDescent="0.4">
      <c r="A339" s="7"/>
      <c r="B339" s="7"/>
      <c r="C339" s="7"/>
      <c r="D339" s="7"/>
      <c r="E339" s="7"/>
      <c r="F339" s="7"/>
      <c r="J339" s="5"/>
      <c r="N339" s="5"/>
      <c r="R339" t="str">
        <f t="shared" si="131"/>
        <v>N</v>
      </c>
      <c r="S339" t="s">
        <v>4169</v>
      </c>
      <c r="V339" s="6" t="str">
        <f t="shared" si="133"/>
        <v>N</v>
      </c>
      <c r="W339" t="s">
        <v>4170</v>
      </c>
    </row>
    <row r="340" spans="1:23" x14ac:dyDescent="0.4">
      <c r="A340" s="7"/>
      <c r="B340" s="7"/>
      <c r="C340" s="7"/>
      <c r="D340" s="7"/>
      <c r="E340" s="7"/>
      <c r="F340" s="7"/>
      <c r="J340" s="5"/>
      <c r="N340" s="5"/>
      <c r="R340" t="str">
        <f t="shared" si="131"/>
        <v>N</v>
      </c>
      <c r="S340" t="s">
        <v>4171</v>
      </c>
      <c r="V340" s="6" t="str">
        <f t="shared" si="133"/>
        <v>N</v>
      </c>
      <c r="W340" t="s">
        <v>4172</v>
      </c>
    </row>
    <row r="341" spans="1:23" x14ac:dyDescent="0.4">
      <c r="A341" s="7"/>
      <c r="B341" s="7"/>
      <c r="C341" s="7"/>
      <c r="D341" s="7"/>
      <c r="E341" s="7"/>
      <c r="F341" s="7"/>
      <c r="J341" s="5"/>
      <c r="N341" s="5"/>
      <c r="R341" t="str">
        <f t="shared" ref="R341:R367" si="134">IF(EXACT(S342,I341)=TRUE,"Y","N")</f>
        <v>N</v>
      </c>
      <c r="S341" t="s">
        <v>4173</v>
      </c>
      <c r="V341" s="6" t="str">
        <f t="shared" si="133"/>
        <v>N</v>
      </c>
      <c r="W341" t="s">
        <v>4174</v>
      </c>
    </row>
    <row r="342" spans="1:23" x14ac:dyDescent="0.4">
      <c r="A342" s="7"/>
      <c r="B342" s="7"/>
      <c r="C342" s="7"/>
      <c r="D342" s="7"/>
      <c r="E342" s="7"/>
      <c r="F342" s="7"/>
      <c r="J342" s="5"/>
      <c r="N342" s="5"/>
      <c r="R342" t="str">
        <f t="shared" si="134"/>
        <v>N</v>
      </c>
      <c r="S342" t="s">
        <v>4175</v>
      </c>
      <c r="V342" s="6" t="str">
        <f t="shared" si="133"/>
        <v>N</v>
      </c>
      <c r="W342" t="s">
        <v>4176</v>
      </c>
    </row>
    <row r="343" spans="1:23" x14ac:dyDescent="0.4">
      <c r="A343" s="7"/>
      <c r="B343" s="7"/>
      <c r="C343" s="7"/>
      <c r="D343" s="7"/>
      <c r="E343" s="7"/>
      <c r="F343" s="7"/>
      <c r="J343" s="5"/>
      <c r="N343" s="5"/>
      <c r="R343" t="str">
        <f t="shared" si="134"/>
        <v>N</v>
      </c>
      <c r="S343" t="s">
        <v>4177</v>
      </c>
      <c r="V343" s="6" t="str">
        <f t="shared" si="133"/>
        <v>N</v>
      </c>
      <c r="W343" t="s">
        <v>4178</v>
      </c>
    </row>
    <row r="344" spans="1:23" x14ac:dyDescent="0.4">
      <c r="A344" s="7"/>
      <c r="B344" s="7"/>
      <c r="C344" s="7"/>
      <c r="D344" s="7"/>
      <c r="E344" s="7" t="s">
        <v>4179</v>
      </c>
      <c r="F344" s="7"/>
      <c r="J344" s="5"/>
      <c r="N344" s="5"/>
      <c r="R344" t="str">
        <f t="shared" si="134"/>
        <v>N</v>
      </c>
      <c r="S344" t="s">
        <v>4180</v>
      </c>
      <c r="V344" s="6" t="str">
        <f t="shared" si="133"/>
        <v>N</v>
      </c>
      <c r="W344" t="s">
        <v>4181</v>
      </c>
    </row>
    <row r="345" spans="1:23" x14ac:dyDescent="0.4">
      <c r="A345" s="7"/>
      <c r="B345" s="7"/>
      <c r="C345" s="7"/>
      <c r="D345" s="7"/>
      <c r="E345" s="7" t="s">
        <v>4182</v>
      </c>
      <c r="F345" s="7"/>
      <c r="J345" s="5"/>
      <c r="N345" s="5"/>
      <c r="R345" t="str">
        <f t="shared" si="134"/>
        <v>N</v>
      </c>
      <c r="S345" t="s">
        <v>4183</v>
      </c>
      <c r="V345" s="6" t="str">
        <f t="shared" si="133"/>
        <v>N</v>
      </c>
      <c r="W345" t="s">
        <v>4184</v>
      </c>
    </row>
    <row r="346" spans="1:23" x14ac:dyDescent="0.4">
      <c r="A346" s="7"/>
      <c r="B346" s="7"/>
      <c r="C346" s="7"/>
      <c r="D346" s="7"/>
      <c r="E346" s="7"/>
      <c r="F346" s="7"/>
      <c r="J346" s="5"/>
      <c r="N346" s="5"/>
      <c r="R346" t="str">
        <f t="shared" si="134"/>
        <v>N</v>
      </c>
      <c r="S346" t="s">
        <v>4185</v>
      </c>
      <c r="V346" s="6" t="str">
        <f t="shared" si="133"/>
        <v>N</v>
      </c>
      <c r="W346" t="s">
        <v>4186</v>
      </c>
    </row>
    <row r="347" spans="1:23" x14ac:dyDescent="0.4">
      <c r="A347" s="7"/>
      <c r="B347" s="7"/>
      <c r="C347" s="7"/>
      <c r="D347" s="7"/>
      <c r="E347" s="7"/>
      <c r="F347" s="7"/>
      <c r="J347" s="5"/>
      <c r="N347" s="5"/>
      <c r="R347" t="str">
        <f t="shared" si="134"/>
        <v>N</v>
      </c>
      <c r="S347" t="s">
        <v>4187</v>
      </c>
      <c r="V347" s="6" t="str">
        <f t="shared" si="133"/>
        <v>N</v>
      </c>
      <c r="W347" t="s">
        <v>4188</v>
      </c>
    </row>
    <row r="348" spans="1:23" x14ac:dyDescent="0.4">
      <c r="A348" s="7"/>
      <c r="B348" s="7"/>
      <c r="C348" s="7"/>
      <c r="D348" s="7"/>
      <c r="E348" s="7"/>
      <c r="F348" s="7"/>
      <c r="J348" s="5"/>
      <c r="N348" s="5"/>
      <c r="R348" t="str">
        <f t="shared" si="134"/>
        <v>N</v>
      </c>
      <c r="S348" t="s">
        <v>4189</v>
      </c>
      <c r="V348" s="6" t="str">
        <f t="shared" si="133"/>
        <v>N</v>
      </c>
      <c r="W348" t="s">
        <v>4190</v>
      </c>
    </row>
    <row r="349" spans="1:23" x14ac:dyDescent="0.4">
      <c r="A349" s="7"/>
      <c r="B349" s="7"/>
      <c r="C349" s="7"/>
      <c r="D349" s="7"/>
      <c r="E349" s="7"/>
      <c r="F349" s="7"/>
      <c r="J349" s="5"/>
      <c r="N349" s="5"/>
      <c r="R349" t="str">
        <f t="shared" si="134"/>
        <v>N</v>
      </c>
      <c r="S349" t="s">
        <v>4191</v>
      </c>
      <c r="V349" s="6" t="str">
        <f t="shared" si="133"/>
        <v>N</v>
      </c>
      <c r="W349" t="s">
        <v>4192</v>
      </c>
    </row>
    <row r="350" spans="1:23" x14ac:dyDescent="0.4">
      <c r="A350" s="7"/>
      <c r="B350" s="7"/>
      <c r="C350" s="7"/>
      <c r="D350" s="7"/>
      <c r="E350" s="7"/>
      <c r="F350" s="7"/>
      <c r="J350" s="5"/>
      <c r="N350" s="5"/>
      <c r="R350" t="str">
        <f t="shared" si="134"/>
        <v>N</v>
      </c>
      <c r="S350" t="s">
        <v>4193</v>
      </c>
      <c r="V350" s="6" t="str">
        <f t="shared" si="133"/>
        <v>N</v>
      </c>
      <c r="W350" t="s">
        <v>4194</v>
      </c>
    </row>
    <row r="351" spans="1:23" x14ac:dyDescent="0.4">
      <c r="A351" s="7"/>
      <c r="B351" s="7"/>
      <c r="C351" s="7"/>
      <c r="D351" s="7"/>
      <c r="E351" s="7"/>
      <c r="F351" s="7"/>
      <c r="J351" s="5"/>
      <c r="N351" s="5"/>
      <c r="R351" t="str">
        <f t="shared" si="134"/>
        <v>N</v>
      </c>
      <c r="S351" t="s">
        <v>4195</v>
      </c>
      <c r="V351" s="6" t="str">
        <f t="shared" si="133"/>
        <v>N</v>
      </c>
      <c r="W351" t="s">
        <v>4196</v>
      </c>
    </row>
    <row r="352" spans="1:23" x14ac:dyDescent="0.4">
      <c r="A352" s="7"/>
      <c r="B352" s="7"/>
      <c r="C352" s="7"/>
      <c r="D352" s="7"/>
      <c r="E352" s="7"/>
      <c r="F352" s="7"/>
      <c r="J352" s="5"/>
      <c r="N352" s="5"/>
      <c r="R352" t="str">
        <f t="shared" si="134"/>
        <v>N</v>
      </c>
      <c r="S352" t="s">
        <v>4197</v>
      </c>
      <c r="V352" s="6" t="str">
        <f t="shared" si="133"/>
        <v>N</v>
      </c>
      <c r="W352" t="s">
        <v>4198</v>
      </c>
    </row>
    <row r="353" spans="1:23" x14ac:dyDescent="0.4">
      <c r="A353" s="7"/>
      <c r="B353" s="7"/>
      <c r="C353" s="7"/>
      <c r="D353" s="7"/>
      <c r="E353" s="7"/>
      <c r="F353" s="7"/>
      <c r="J353" s="5"/>
      <c r="N353" s="5"/>
      <c r="R353" t="str">
        <f t="shared" si="134"/>
        <v>N</v>
      </c>
      <c r="S353" t="s">
        <v>4199</v>
      </c>
      <c r="V353" s="6" t="str">
        <f t="shared" si="133"/>
        <v>N</v>
      </c>
      <c r="W353" t="s">
        <v>4200</v>
      </c>
    </row>
    <row r="354" spans="1:23" x14ac:dyDescent="0.4">
      <c r="A354" s="7"/>
      <c r="B354" s="7"/>
      <c r="C354" s="7"/>
      <c r="D354" s="7"/>
      <c r="E354" s="7"/>
      <c r="F354" s="7"/>
      <c r="J354" s="5"/>
      <c r="N354" s="5"/>
      <c r="R354" t="str">
        <f t="shared" si="134"/>
        <v>N</v>
      </c>
      <c r="S354" t="s">
        <v>4201</v>
      </c>
      <c r="V354" s="6" t="str">
        <f t="shared" si="133"/>
        <v>N</v>
      </c>
      <c r="W354" t="s">
        <v>4202</v>
      </c>
    </row>
    <row r="355" spans="1:23" x14ac:dyDescent="0.4">
      <c r="A355" s="7"/>
      <c r="B355" s="7"/>
      <c r="C355" s="7"/>
      <c r="D355" s="7"/>
      <c r="E355" s="7"/>
      <c r="F355" s="7"/>
      <c r="J355" s="5"/>
      <c r="N355" s="5"/>
      <c r="R355" t="str">
        <f t="shared" si="134"/>
        <v>N</v>
      </c>
      <c r="S355" t="s">
        <v>4065</v>
      </c>
      <c r="V355" s="6" t="str">
        <f t="shared" si="133"/>
        <v>N</v>
      </c>
      <c r="W355" t="s">
        <v>4203</v>
      </c>
    </row>
    <row r="356" spans="1:23" x14ac:dyDescent="0.4">
      <c r="A356" s="7"/>
      <c r="B356" s="7"/>
      <c r="C356" s="7"/>
      <c r="D356" s="7"/>
      <c r="E356" s="7"/>
      <c r="F356" s="7"/>
      <c r="J356" s="5"/>
      <c r="N356" s="5"/>
      <c r="R356" t="str">
        <f t="shared" si="134"/>
        <v>N</v>
      </c>
      <c r="S356" t="s">
        <v>4073</v>
      </c>
      <c r="V356" s="6" t="str">
        <f t="shared" si="133"/>
        <v>N</v>
      </c>
      <c r="W356" t="s">
        <v>4204</v>
      </c>
    </row>
    <row r="357" spans="1:23" x14ac:dyDescent="0.4">
      <c r="A357" s="7"/>
      <c r="B357" s="7"/>
      <c r="C357" s="7"/>
      <c r="D357" s="7"/>
      <c r="E357" s="7"/>
      <c r="F357" s="7"/>
      <c r="J357" s="5"/>
      <c r="N357" s="5"/>
      <c r="R357" t="str">
        <f t="shared" si="134"/>
        <v>N</v>
      </c>
      <c r="S357" t="s">
        <v>4205</v>
      </c>
      <c r="V357" s="6" t="str">
        <f t="shared" si="133"/>
        <v>N</v>
      </c>
      <c r="W357" t="s">
        <v>4206</v>
      </c>
    </row>
    <row r="358" spans="1:23" x14ac:dyDescent="0.4">
      <c r="A358" s="7"/>
      <c r="B358" s="7"/>
      <c r="C358" s="7"/>
      <c r="D358" s="7"/>
      <c r="E358" s="7"/>
      <c r="F358" s="7"/>
      <c r="J358" s="5"/>
      <c r="N358" s="5"/>
      <c r="R358" t="str">
        <f t="shared" si="134"/>
        <v>N</v>
      </c>
      <c r="S358" t="s">
        <v>4207</v>
      </c>
      <c r="V358" s="6" t="str">
        <f t="shared" si="133"/>
        <v>N</v>
      </c>
      <c r="W358" t="s">
        <v>4208</v>
      </c>
    </row>
    <row r="359" spans="1:23" x14ac:dyDescent="0.4">
      <c r="A359" s="7"/>
      <c r="J359" s="5"/>
      <c r="N359" s="5"/>
      <c r="R359" t="str">
        <f t="shared" si="134"/>
        <v>N</v>
      </c>
      <c r="S359" t="s">
        <v>4209</v>
      </c>
      <c r="V359" s="6" t="str">
        <f t="shared" si="133"/>
        <v>N</v>
      </c>
      <c r="W359" t="s">
        <v>4210</v>
      </c>
    </row>
    <row r="360" spans="1:23" x14ac:dyDescent="0.4">
      <c r="J360" s="5"/>
      <c r="N360" s="5"/>
      <c r="R360" t="str">
        <f t="shared" si="134"/>
        <v>N</v>
      </c>
      <c r="S360" t="s">
        <v>4211</v>
      </c>
      <c r="V360" s="6" t="str">
        <f t="shared" si="133"/>
        <v>N</v>
      </c>
      <c r="W360" t="s">
        <v>4212</v>
      </c>
    </row>
    <row r="361" spans="1:23" x14ac:dyDescent="0.4">
      <c r="J361" s="5"/>
      <c r="N361" s="5"/>
      <c r="R361" t="str">
        <f t="shared" si="134"/>
        <v>N</v>
      </c>
      <c r="S361" t="s">
        <v>3428</v>
      </c>
      <c r="V361" s="6" t="str">
        <f t="shared" si="133"/>
        <v>N</v>
      </c>
      <c r="W361" t="s">
        <v>4213</v>
      </c>
    </row>
    <row r="362" spans="1:23" x14ac:dyDescent="0.4">
      <c r="J362" s="5"/>
      <c r="N362" s="5"/>
      <c r="R362" t="str">
        <f t="shared" si="134"/>
        <v>N</v>
      </c>
      <c r="S362" t="s">
        <v>3886</v>
      </c>
      <c r="V362" s="6" t="str">
        <f t="shared" si="133"/>
        <v>N</v>
      </c>
      <c r="W362" t="s">
        <v>4214</v>
      </c>
    </row>
    <row r="363" spans="1:23" x14ac:dyDescent="0.4">
      <c r="J363" s="5"/>
      <c r="N363" s="5"/>
      <c r="R363" t="str">
        <f t="shared" si="134"/>
        <v>N</v>
      </c>
      <c r="S363" t="s">
        <v>4215</v>
      </c>
      <c r="V363" s="6" t="str">
        <f t="shared" si="133"/>
        <v>N</v>
      </c>
      <c r="W363" t="s">
        <v>4216</v>
      </c>
    </row>
    <row r="364" spans="1:23" x14ac:dyDescent="0.4">
      <c r="J364" s="5"/>
      <c r="N364" s="5"/>
      <c r="R364" t="str">
        <f t="shared" si="134"/>
        <v>N</v>
      </c>
      <c r="S364" t="s">
        <v>4217</v>
      </c>
      <c r="V364" s="6" t="str">
        <f t="shared" si="133"/>
        <v>N</v>
      </c>
      <c r="W364" t="s">
        <v>4218</v>
      </c>
    </row>
    <row r="365" spans="1:23" x14ac:dyDescent="0.4">
      <c r="J365" s="5"/>
      <c r="N365" s="5"/>
      <c r="R365" t="str">
        <f t="shared" si="134"/>
        <v>N</v>
      </c>
      <c r="S365" t="s">
        <v>4219</v>
      </c>
      <c r="V365" s="6" t="str">
        <f t="shared" si="133"/>
        <v>N</v>
      </c>
      <c r="W365" t="s">
        <v>4220</v>
      </c>
    </row>
    <row r="366" spans="1:23" x14ac:dyDescent="0.4">
      <c r="J366" s="5"/>
      <c r="N366" s="5"/>
      <c r="R366" t="str">
        <f t="shared" si="134"/>
        <v>N</v>
      </c>
      <c r="S366" t="s">
        <v>4221</v>
      </c>
      <c r="V366" s="6" t="str">
        <f t="shared" si="133"/>
        <v>N</v>
      </c>
      <c r="W366" t="s">
        <v>4222</v>
      </c>
    </row>
    <row r="367" spans="1:23" x14ac:dyDescent="0.4">
      <c r="J367" s="5"/>
      <c r="N367" s="5"/>
      <c r="R367" t="str">
        <f t="shared" si="134"/>
        <v>Y</v>
      </c>
      <c r="S367" t="s">
        <v>4223</v>
      </c>
      <c r="V367" s="6" t="str">
        <f t="shared" si="133"/>
        <v>N</v>
      </c>
      <c r="W367" t="s">
        <v>4224</v>
      </c>
    </row>
    <row r="368" spans="1:23" x14ac:dyDescent="0.4">
      <c r="N368" s="5"/>
      <c r="V368" s="6" t="str">
        <f t="shared" si="133"/>
        <v>N</v>
      </c>
      <c r="W368" t="s">
        <v>4225</v>
      </c>
    </row>
    <row r="369" spans="14:23" x14ac:dyDescent="0.4">
      <c r="N369" s="5"/>
      <c r="V369" s="6" t="str">
        <f t="shared" si="133"/>
        <v>N</v>
      </c>
      <c r="W369" t="s">
        <v>4226</v>
      </c>
    </row>
    <row r="370" spans="14:23" x14ac:dyDescent="0.4">
      <c r="N370" s="5"/>
      <c r="V370" s="6" t="str">
        <f t="shared" si="133"/>
        <v>N</v>
      </c>
      <c r="W370" t="s">
        <v>4227</v>
      </c>
    </row>
    <row r="371" spans="14:23" x14ac:dyDescent="0.4">
      <c r="N371" s="5"/>
      <c r="V371" s="6" t="str">
        <f t="shared" ref="V371:V434" si="135">IF(EXACT(W371,M371)=TRUE,"Y","N")</f>
        <v>N</v>
      </c>
      <c r="W371" t="s">
        <v>4228</v>
      </c>
    </row>
    <row r="372" spans="14:23" x14ac:dyDescent="0.4">
      <c r="N372" s="5"/>
      <c r="V372" s="6" t="str">
        <f t="shared" si="135"/>
        <v>N</v>
      </c>
      <c r="W372" t="s">
        <v>4229</v>
      </c>
    </row>
    <row r="373" spans="14:23" x14ac:dyDescent="0.4">
      <c r="N373" s="5"/>
      <c r="V373" s="6" t="str">
        <f t="shared" si="135"/>
        <v>N</v>
      </c>
      <c r="W373" t="s">
        <v>4230</v>
      </c>
    </row>
    <row r="374" spans="14:23" x14ac:dyDescent="0.4">
      <c r="N374" s="5"/>
      <c r="V374" s="6" t="str">
        <f t="shared" si="135"/>
        <v>N</v>
      </c>
      <c r="W374" t="s">
        <v>4231</v>
      </c>
    </row>
    <row r="375" spans="14:23" x14ac:dyDescent="0.4">
      <c r="N375" s="5"/>
      <c r="V375" s="6" t="str">
        <f t="shared" si="135"/>
        <v>N</v>
      </c>
      <c r="W375" t="s">
        <v>4232</v>
      </c>
    </row>
    <row r="376" spans="14:23" x14ac:dyDescent="0.4">
      <c r="N376" s="5"/>
      <c r="V376" s="6" t="str">
        <f t="shared" si="135"/>
        <v>N</v>
      </c>
      <c r="W376" t="s">
        <v>4233</v>
      </c>
    </row>
    <row r="377" spans="14:23" x14ac:dyDescent="0.4">
      <c r="N377" s="5"/>
      <c r="V377" s="6" t="str">
        <f t="shared" si="135"/>
        <v>N</v>
      </c>
      <c r="W377" t="s">
        <v>4234</v>
      </c>
    </row>
    <row r="378" spans="14:23" x14ac:dyDescent="0.4">
      <c r="N378" s="5"/>
      <c r="V378" s="6" t="str">
        <f t="shared" si="135"/>
        <v>N</v>
      </c>
      <c r="W378" t="s">
        <v>4235</v>
      </c>
    </row>
    <row r="379" spans="14:23" x14ac:dyDescent="0.4">
      <c r="N379" s="5"/>
      <c r="V379" s="6" t="str">
        <f t="shared" si="135"/>
        <v>N</v>
      </c>
      <c r="W379" t="s">
        <v>4236</v>
      </c>
    </row>
    <row r="380" spans="14:23" x14ac:dyDescent="0.4">
      <c r="N380" s="5"/>
      <c r="V380" s="6" t="str">
        <f t="shared" si="135"/>
        <v>N</v>
      </c>
      <c r="W380" t="s">
        <v>4237</v>
      </c>
    </row>
    <row r="381" spans="14:23" x14ac:dyDescent="0.4">
      <c r="N381" s="5"/>
      <c r="V381" s="6" t="str">
        <f t="shared" si="135"/>
        <v>N</v>
      </c>
      <c r="W381" t="s">
        <v>4238</v>
      </c>
    </row>
    <row r="382" spans="14:23" x14ac:dyDescent="0.4">
      <c r="N382" s="5"/>
      <c r="V382" s="6" t="str">
        <f t="shared" si="135"/>
        <v>N</v>
      </c>
      <c r="W382" t="s">
        <v>4239</v>
      </c>
    </row>
    <row r="383" spans="14:23" x14ac:dyDescent="0.4">
      <c r="N383" s="5"/>
      <c r="V383" s="6" t="str">
        <f t="shared" si="135"/>
        <v>N</v>
      </c>
      <c r="W383" t="s">
        <v>4240</v>
      </c>
    </row>
    <row r="384" spans="14:23" x14ac:dyDescent="0.4">
      <c r="N384" s="5"/>
      <c r="V384" s="6" t="str">
        <f t="shared" si="135"/>
        <v>N</v>
      </c>
      <c r="W384" t="s">
        <v>4241</v>
      </c>
    </row>
    <row r="385" spans="14:23" x14ac:dyDescent="0.4">
      <c r="N385" s="5"/>
      <c r="V385" s="6" t="str">
        <f t="shared" si="135"/>
        <v>N</v>
      </c>
      <c r="W385" t="s">
        <v>4242</v>
      </c>
    </row>
    <row r="386" spans="14:23" x14ac:dyDescent="0.4">
      <c r="N386" s="5"/>
      <c r="V386" s="6" t="str">
        <f t="shared" si="135"/>
        <v>N</v>
      </c>
      <c r="W386" t="s">
        <v>4243</v>
      </c>
    </row>
    <row r="387" spans="14:23" x14ac:dyDescent="0.4">
      <c r="N387" s="5"/>
      <c r="V387" s="6" t="str">
        <f t="shared" si="135"/>
        <v>N</v>
      </c>
      <c r="W387" t="s">
        <v>4244</v>
      </c>
    </row>
    <row r="388" spans="14:23" x14ac:dyDescent="0.4">
      <c r="N388" s="5"/>
      <c r="V388" s="6" t="str">
        <f t="shared" si="135"/>
        <v>N</v>
      </c>
      <c r="W388" t="s">
        <v>4245</v>
      </c>
    </row>
    <row r="389" spans="14:23" x14ac:dyDescent="0.4">
      <c r="N389" s="5"/>
      <c r="V389" s="6" t="str">
        <f t="shared" si="135"/>
        <v>N</v>
      </c>
      <c r="W389" t="s">
        <v>2247</v>
      </c>
    </row>
    <row r="390" spans="14:23" x14ac:dyDescent="0.4">
      <c r="N390" s="5"/>
      <c r="V390" s="6" t="str">
        <f t="shared" si="135"/>
        <v>N</v>
      </c>
      <c r="W390" t="s">
        <v>4246</v>
      </c>
    </row>
    <row r="391" spans="14:23" x14ac:dyDescent="0.4">
      <c r="N391" s="5"/>
      <c r="V391" s="6" t="str">
        <f t="shared" si="135"/>
        <v>N</v>
      </c>
      <c r="W391" t="s">
        <v>4247</v>
      </c>
    </row>
    <row r="392" spans="14:23" x14ac:dyDescent="0.4">
      <c r="N392" s="5"/>
      <c r="V392" s="6" t="str">
        <f t="shared" si="135"/>
        <v>N</v>
      </c>
      <c r="W392" t="s">
        <v>2420</v>
      </c>
    </row>
    <row r="393" spans="14:23" x14ac:dyDescent="0.4">
      <c r="N393" s="5"/>
      <c r="V393" s="6" t="str">
        <f t="shared" si="135"/>
        <v>N</v>
      </c>
      <c r="W393" t="s">
        <v>2943</v>
      </c>
    </row>
    <row r="394" spans="14:23" x14ac:dyDescent="0.4">
      <c r="N394" s="5"/>
      <c r="V394" s="6" t="str">
        <f t="shared" si="135"/>
        <v>N</v>
      </c>
      <c r="W394" t="s">
        <v>3946</v>
      </c>
    </row>
    <row r="395" spans="14:23" x14ac:dyDescent="0.4">
      <c r="N395" s="5"/>
      <c r="V395" s="6" t="str">
        <f t="shared" si="135"/>
        <v>N</v>
      </c>
      <c r="W395" t="s">
        <v>4237</v>
      </c>
    </row>
    <row r="396" spans="14:23" x14ac:dyDescent="0.4">
      <c r="N396" s="5"/>
      <c r="V396" s="6" t="str">
        <f t="shared" si="135"/>
        <v>N</v>
      </c>
      <c r="W396" t="s">
        <v>4248</v>
      </c>
    </row>
    <row r="397" spans="14:23" x14ac:dyDescent="0.4">
      <c r="N397" s="5"/>
      <c r="V397" s="6" t="str">
        <f t="shared" si="135"/>
        <v>N</v>
      </c>
      <c r="W397" t="s">
        <v>4249</v>
      </c>
    </row>
    <row r="398" spans="14:23" x14ac:dyDescent="0.4">
      <c r="N398" s="5"/>
      <c r="V398" s="6" t="str">
        <f t="shared" si="135"/>
        <v>N</v>
      </c>
      <c r="W398" t="s">
        <v>4250</v>
      </c>
    </row>
    <row r="399" spans="14:23" x14ac:dyDescent="0.4">
      <c r="N399" s="5"/>
      <c r="V399" s="6" t="str">
        <f t="shared" si="135"/>
        <v>N</v>
      </c>
      <c r="W399" t="s">
        <v>4251</v>
      </c>
    </row>
    <row r="400" spans="14:23" x14ac:dyDescent="0.4">
      <c r="N400" s="5"/>
      <c r="V400" s="6" t="str">
        <f t="shared" si="135"/>
        <v>N</v>
      </c>
      <c r="W400" t="s">
        <v>4252</v>
      </c>
    </row>
    <row r="401" spans="14:23" x14ac:dyDescent="0.4">
      <c r="N401" s="5"/>
      <c r="V401" s="6" t="str">
        <f t="shared" si="135"/>
        <v>N</v>
      </c>
      <c r="W401" t="s">
        <v>4253</v>
      </c>
    </row>
    <row r="402" spans="14:23" x14ac:dyDescent="0.4">
      <c r="N402" s="5"/>
      <c r="V402" s="6" t="str">
        <f t="shared" si="135"/>
        <v>N</v>
      </c>
      <c r="W402" t="s">
        <v>4254</v>
      </c>
    </row>
    <row r="403" spans="14:23" x14ac:dyDescent="0.4">
      <c r="N403" s="5"/>
      <c r="V403" s="6" t="str">
        <f t="shared" si="135"/>
        <v>N</v>
      </c>
      <c r="W403" t="s">
        <v>4255</v>
      </c>
    </row>
    <row r="404" spans="14:23" x14ac:dyDescent="0.4">
      <c r="N404" s="5"/>
      <c r="V404" s="6" t="str">
        <f t="shared" si="135"/>
        <v>N</v>
      </c>
      <c r="W404" t="s">
        <v>4256</v>
      </c>
    </row>
    <row r="405" spans="14:23" x14ac:dyDescent="0.4">
      <c r="N405" s="5"/>
      <c r="V405" s="6" t="str">
        <f t="shared" si="135"/>
        <v>N</v>
      </c>
      <c r="W405" t="s">
        <v>4257</v>
      </c>
    </row>
    <row r="406" spans="14:23" x14ac:dyDescent="0.4">
      <c r="N406" s="5"/>
      <c r="V406" s="6" t="str">
        <f t="shared" si="135"/>
        <v>N</v>
      </c>
      <c r="W406" t="s">
        <v>4258</v>
      </c>
    </row>
    <row r="407" spans="14:23" x14ac:dyDescent="0.4">
      <c r="N407" s="5"/>
      <c r="V407" s="6" t="str">
        <f t="shared" si="135"/>
        <v>N</v>
      </c>
      <c r="W407" t="s">
        <v>4259</v>
      </c>
    </row>
    <row r="408" spans="14:23" x14ac:dyDescent="0.4">
      <c r="N408" s="5"/>
      <c r="V408" s="6" t="str">
        <f t="shared" si="135"/>
        <v>N</v>
      </c>
      <c r="W408" t="s">
        <v>4260</v>
      </c>
    </row>
    <row r="409" spans="14:23" x14ac:dyDescent="0.4">
      <c r="N409" s="5"/>
      <c r="V409" s="6" t="str">
        <f t="shared" si="135"/>
        <v>N</v>
      </c>
      <c r="W409" t="s">
        <v>4261</v>
      </c>
    </row>
    <row r="410" spans="14:23" x14ac:dyDescent="0.4">
      <c r="N410" s="5"/>
      <c r="V410" s="6" t="str">
        <f t="shared" si="135"/>
        <v>N</v>
      </c>
      <c r="W410" t="s">
        <v>4262</v>
      </c>
    </row>
    <row r="411" spans="14:23" x14ac:dyDescent="0.4">
      <c r="N411" s="5"/>
      <c r="V411" s="6" t="str">
        <f t="shared" si="135"/>
        <v>N</v>
      </c>
      <c r="W411" t="s">
        <v>4263</v>
      </c>
    </row>
    <row r="412" spans="14:23" x14ac:dyDescent="0.4">
      <c r="N412" s="5"/>
      <c r="V412" s="6" t="str">
        <f t="shared" si="135"/>
        <v>N</v>
      </c>
      <c r="W412" t="s">
        <v>4264</v>
      </c>
    </row>
    <row r="413" spans="14:23" x14ac:dyDescent="0.4">
      <c r="N413" s="5"/>
      <c r="V413" s="6" t="str">
        <f t="shared" si="135"/>
        <v>N</v>
      </c>
      <c r="W413" t="s">
        <v>4238</v>
      </c>
    </row>
    <row r="414" spans="14:23" x14ac:dyDescent="0.4">
      <c r="N414" s="5"/>
      <c r="V414" s="6" t="str">
        <f t="shared" si="135"/>
        <v>N</v>
      </c>
      <c r="W414" t="s">
        <v>4239</v>
      </c>
    </row>
    <row r="415" spans="14:23" x14ac:dyDescent="0.4">
      <c r="N415" s="5"/>
      <c r="V415" s="6" t="str">
        <f t="shared" si="135"/>
        <v>N</v>
      </c>
      <c r="W415" t="s">
        <v>4240</v>
      </c>
    </row>
    <row r="416" spans="14:23" x14ac:dyDescent="0.4">
      <c r="N416" s="5"/>
      <c r="V416" s="6" t="str">
        <f t="shared" si="135"/>
        <v>N</v>
      </c>
      <c r="W416" t="s">
        <v>4241</v>
      </c>
    </row>
    <row r="417" spans="14:23" x14ac:dyDescent="0.4">
      <c r="N417" s="5"/>
      <c r="V417" s="6" t="str">
        <f t="shared" si="135"/>
        <v>N</v>
      </c>
      <c r="W417" t="s">
        <v>4242</v>
      </c>
    </row>
    <row r="418" spans="14:23" x14ac:dyDescent="0.4">
      <c r="N418" s="5"/>
      <c r="V418" s="6" t="str">
        <f t="shared" si="135"/>
        <v>N</v>
      </c>
      <c r="W418" t="s">
        <v>4243</v>
      </c>
    </row>
    <row r="419" spans="14:23" x14ac:dyDescent="0.4">
      <c r="N419" s="5"/>
      <c r="V419" s="6" t="str">
        <f t="shared" si="135"/>
        <v>N</v>
      </c>
      <c r="W419" t="s">
        <v>4244</v>
      </c>
    </row>
    <row r="420" spans="14:23" x14ac:dyDescent="0.4">
      <c r="N420" s="5"/>
      <c r="V420" s="6" t="str">
        <f t="shared" si="135"/>
        <v>N</v>
      </c>
      <c r="W420" t="s">
        <v>4245</v>
      </c>
    </row>
    <row r="421" spans="14:23" x14ac:dyDescent="0.4">
      <c r="N421" s="5"/>
      <c r="V421" s="6" t="str">
        <f t="shared" si="135"/>
        <v>N</v>
      </c>
      <c r="W421" t="s">
        <v>2247</v>
      </c>
    </row>
    <row r="422" spans="14:23" x14ac:dyDescent="0.4">
      <c r="N422" s="5"/>
      <c r="V422" s="6" t="str">
        <f t="shared" si="135"/>
        <v>N</v>
      </c>
      <c r="W422" t="s">
        <v>4246</v>
      </c>
    </row>
    <row r="423" spans="14:23" x14ac:dyDescent="0.4">
      <c r="N423" s="5"/>
      <c r="V423" s="6" t="str">
        <f t="shared" si="135"/>
        <v>N</v>
      </c>
      <c r="W423" t="s">
        <v>4247</v>
      </c>
    </row>
    <row r="424" spans="14:23" x14ac:dyDescent="0.4">
      <c r="N424" s="5"/>
      <c r="V424" s="6" t="str">
        <f t="shared" si="135"/>
        <v>N</v>
      </c>
      <c r="W424" t="s">
        <v>2420</v>
      </c>
    </row>
    <row r="425" spans="14:23" x14ac:dyDescent="0.4">
      <c r="N425" s="5"/>
      <c r="V425" s="6" t="str">
        <f t="shared" si="135"/>
        <v>N</v>
      </c>
      <c r="W425" t="s">
        <v>2943</v>
      </c>
    </row>
    <row r="426" spans="14:23" x14ac:dyDescent="0.4">
      <c r="N426" s="5"/>
      <c r="V426" s="6" t="str">
        <f t="shared" si="135"/>
        <v>N</v>
      </c>
      <c r="W426" t="s">
        <v>3946</v>
      </c>
    </row>
    <row r="427" spans="14:23" x14ac:dyDescent="0.4">
      <c r="N427" s="5"/>
      <c r="V427" s="6" t="str">
        <f t="shared" si="135"/>
        <v>N</v>
      </c>
      <c r="W427" t="s">
        <v>4237</v>
      </c>
    </row>
    <row r="428" spans="14:23" x14ac:dyDescent="0.4">
      <c r="N428" s="5"/>
      <c r="V428" s="6" t="str">
        <f t="shared" si="135"/>
        <v>N</v>
      </c>
      <c r="W428" t="s">
        <v>4248</v>
      </c>
    </row>
    <row r="429" spans="14:23" x14ac:dyDescent="0.4">
      <c r="N429" s="5"/>
      <c r="V429" s="6" t="str">
        <f t="shared" si="135"/>
        <v>N</v>
      </c>
      <c r="W429" t="s">
        <v>4249</v>
      </c>
    </row>
    <row r="430" spans="14:23" x14ac:dyDescent="0.4">
      <c r="N430" s="5"/>
      <c r="V430" s="6" t="str">
        <f t="shared" si="135"/>
        <v>N</v>
      </c>
      <c r="W430" t="s">
        <v>4250</v>
      </c>
    </row>
    <row r="431" spans="14:23" x14ac:dyDescent="0.4">
      <c r="N431" s="5"/>
      <c r="V431" s="6" t="str">
        <f t="shared" si="135"/>
        <v>N</v>
      </c>
      <c r="W431" t="s">
        <v>4251</v>
      </c>
    </row>
    <row r="432" spans="14:23" x14ac:dyDescent="0.4">
      <c r="N432" s="5"/>
      <c r="V432" s="6" t="str">
        <f t="shared" si="135"/>
        <v>N</v>
      </c>
      <c r="W432" t="s">
        <v>4252</v>
      </c>
    </row>
    <row r="433" spans="14:23" x14ac:dyDescent="0.4">
      <c r="N433" s="5"/>
      <c r="V433" s="6" t="str">
        <f t="shared" si="135"/>
        <v>N</v>
      </c>
      <c r="W433" t="s">
        <v>4253</v>
      </c>
    </row>
    <row r="434" spans="14:23" x14ac:dyDescent="0.4">
      <c r="N434" s="5"/>
      <c r="V434" s="6" t="str">
        <f t="shared" si="135"/>
        <v>N</v>
      </c>
      <c r="W434" t="s">
        <v>4254</v>
      </c>
    </row>
    <row r="435" spans="14:23" x14ac:dyDescent="0.4">
      <c r="N435" s="5"/>
      <c r="V435" s="6" t="str">
        <f t="shared" ref="V435:V444" si="136">IF(EXACT(W435,M435)=TRUE,"Y","N")</f>
        <v>N</v>
      </c>
      <c r="W435" t="s">
        <v>4255</v>
      </c>
    </row>
    <row r="436" spans="14:23" x14ac:dyDescent="0.4">
      <c r="N436" s="5"/>
      <c r="V436" s="6" t="str">
        <f t="shared" si="136"/>
        <v>N</v>
      </c>
      <c r="W436" t="s">
        <v>4256</v>
      </c>
    </row>
    <row r="437" spans="14:23" x14ac:dyDescent="0.4">
      <c r="N437" s="5"/>
      <c r="V437" s="6" t="str">
        <f t="shared" si="136"/>
        <v>N</v>
      </c>
      <c r="W437" t="s">
        <v>4257</v>
      </c>
    </row>
    <row r="438" spans="14:23" x14ac:dyDescent="0.4">
      <c r="N438" s="5"/>
      <c r="V438" s="6" t="str">
        <f t="shared" si="136"/>
        <v>N</v>
      </c>
      <c r="W438" t="s">
        <v>4258</v>
      </c>
    </row>
    <row r="439" spans="14:23" x14ac:dyDescent="0.4">
      <c r="N439" s="5"/>
      <c r="V439" s="6" t="str">
        <f t="shared" si="136"/>
        <v>N</v>
      </c>
      <c r="W439" t="s">
        <v>4259</v>
      </c>
    </row>
    <row r="440" spans="14:23" x14ac:dyDescent="0.4">
      <c r="N440" s="5"/>
      <c r="V440" s="6" t="str">
        <f t="shared" si="136"/>
        <v>N</v>
      </c>
      <c r="W440" t="s">
        <v>4260</v>
      </c>
    </row>
    <row r="441" spans="14:23" x14ac:dyDescent="0.4">
      <c r="N441" s="5"/>
      <c r="V441" s="6" t="str">
        <f t="shared" si="136"/>
        <v>N</v>
      </c>
      <c r="W441" t="s">
        <v>4261</v>
      </c>
    </row>
    <row r="442" spans="14:23" x14ac:dyDescent="0.4">
      <c r="N442" s="5"/>
      <c r="V442" s="6" t="str">
        <f t="shared" si="136"/>
        <v>N</v>
      </c>
      <c r="W442" t="s">
        <v>4262</v>
      </c>
    </row>
    <row r="443" spans="14:23" x14ac:dyDescent="0.4">
      <c r="N443" s="5"/>
      <c r="V443" s="6" t="str">
        <f t="shared" si="136"/>
        <v>N</v>
      </c>
      <c r="W443" t="s">
        <v>4263</v>
      </c>
    </row>
    <row r="444" spans="14:23" x14ac:dyDescent="0.4">
      <c r="N444" s="5"/>
      <c r="V444" s="6" t="str">
        <f t="shared" si="136"/>
        <v>N</v>
      </c>
      <c r="W444" t="s">
        <v>4264</v>
      </c>
    </row>
  </sheetData>
  <sheetProtection selectLockedCells="1"/>
  <mergeCells count="12">
    <mergeCell ref="R1:S1"/>
    <mergeCell ref="T1:U1"/>
    <mergeCell ref="V1:W1"/>
    <mergeCell ref="E3:F3"/>
    <mergeCell ref="A33:D33"/>
    <mergeCell ref="A2:D3"/>
    <mergeCell ref="A20:D27"/>
    <mergeCell ref="G1:H1"/>
    <mergeCell ref="I1:J1"/>
    <mergeCell ref="K1:L1"/>
    <mergeCell ref="M1:N1"/>
    <mergeCell ref="P1:Q1"/>
  </mergeCells>
  <phoneticPr fontId="1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">
          <controlPr defaultSize="0" altText="" r:id="rId4">
            <anchor moveWithCells="1">
              <from>
                <xdr:col>0</xdr:col>
                <xdr:colOff>366713</xdr:colOff>
                <xdr:row>11</xdr:row>
                <xdr:rowOff>76200</xdr:rowOff>
              </from>
              <to>
                <xdr:col>1</xdr:col>
                <xdr:colOff>461963</xdr:colOff>
                <xdr:row>13</xdr:row>
                <xdr:rowOff>80963</xdr:rowOff>
              </to>
            </anchor>
          </controlPr>
        </control>
      </mc:Choice>
      <mc:Fallback>
        <control shapeId="5121" r:id="rId3" name="C"/>
      </mc:Fallback>
    </mc:AlternateContent>
    <mc:AlternateContent xmlns:mc="http://schemas.openxmlformats.org/markup-compatibility/2006">
      <mc:Choice Requires="x14">
        <control shapeId="5122" r:id="rId5" name="CommandButton1">
          <controlPr defaultSize="0" altText="" r:id="rId6">
            <anchor moveWithCells="1">
              <from>
                <xdr:col>1</xdr:col>
                <xdr:colOff>857250</xdr:colOff>
                <xdr:row>11</xdr:row>
                <xdr:rowOff>66675</xdr:rowOff>
              </from>
              <to>
                <xdr:col>3</xdr:col>
                <xdr:colOff>371475</xdr:colOff>
                <xdr:row>13</xdr:row>
                <xdr:rowOff>71438</xdr:rowOff>
              </to>
            </anchor>
          </controlPr>
        </control>
      </mc:Choice>
      <mc:Fallback>
        <control shapeId="5122" r:id="rId5" name="CommandButton1"/>
      </mc:Fallback>
    </mc:AlternateContent>
    <mc:AlternateContent xmlns:mc="http://schemas.openxmlformats.org/markup-compatibility/2006">
      <mc:Choice Requires="x14">
        <control shapeId="5123" r:id="rId7" name="CommandButton2">
          <controlPr defaultSize="0" altText="" r:id="rId8">
            <anchor moveWithCells="1">
              <from>
                <xdr:col>0</xdr:col>
                <xdr:colOff>400050</xdr:colOff>
                <xdr:row>14</xdr:row>
                <xdr:rowOff>171450</xdr:rowOff>
              </from>
              <to>
                <xdr:col>1</xdr:col>
                <xdr:colOff>495300</xdr:colOff>
                <xdr:row>17</xdr:row>
                <xdr:rowOff>0</xdr:rowOff>
              </to>
            </anchor>
          </controlPr>
        </control>
      </mc:Choice>
      <mc:Fallback>
        <control shapeId="5123" r:id="rId7" name="CommandButton2"/>
      </mc:Fallback>
    </mc:AlternateContent>
    <mc:AlternateContent xmlns:mc="http://schemas.openxmlformats.org/markup-compatibility/2006">
      <mc:Choice Requires="x14">
        <control shapeId="5124" r:id="rId9" name="CommandButton3">
          <controlPr defaultSize="0" altText="" r:id="rId10">
            <anchor moveWithCells="1">
              <from>
                <xdr:col>1</xdr:col>
                <xdr:colOff>838200</xdr:colOff>
                <xdr:row>15</xdr:row>
                <xdr:rowOff>9525</xdr:rowOff>
              </from>
              <to>
                <xdr:col>3</xdr:col>
                <xdr:colOff>352425</xdr:colOff>
                <xdr:row>17</xdr:row>
                <xdr:rowOff>14288</xdr:rowOff>
              </to>
            </anchor>
          </controlPr>
        </control>
      </mc:Choice>
      <mc:Fallback>
        <control shapeId="5124" r:id="rId9" name="CommandButton3"/>
      </mc:Fallback>
    </mc:AlternateContent>
    <mc:AlternateContent xmlns:mc="http://schemas.openxmlformats.org/markup-compatibility/2006">
      <mc:Choice Requires="x14">
        <control shapeId="5130" r:id="rId11" name="CommandButton10">
          <controlPr defaultSize="0" altText="" r:id="rId12">
            <anchor moveWithCells="1">
              <from>
                <xdr:col>3</xdr:col>
                <xdr:colOff>800100</xdr:colOff>
                <xdr:row>11</xdr:row>
                <xdr:rowOff>76200</xdr:rowOff>
              </from>
              <to>
                <xdr:col>5</xdr:col>
                <xdr:colOff>161925</xdr:colOff>
                <xdr:row>13</xdr:row>
                <xdr:rowOff>80963</xdr:rowOff>
              </to>
            </anchor>
          </controlPr>
        </control>
      </mc:Choice>
      <mc:Fallback>
        <control shapeId="5130" r:id="rId11" name="CommandButton10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AF39"/>
  <sheetViews>
    <sheetView workbookViewId="0">
      <selection activeCell="J6" sqref="J6"/>
    </sheetView>
  </sheetViews>
  <sheetFormatPr defaultColWidth="8.86328125" defaultRowHeight="13.9" x14ac:dyDescent="0.4"/>
  <cols>
    <col min="1" max="1" width="14.6640625" bestFit="1" customWidth="1"/>
    <col min="2" max="2" width="14.86328125" bestFit="1" customWidth="1"/>
    <col min="3" max="3" width="13.46484375" bestFit="1" customWidth="1"/>
    <col min="4" max="4" width="10.73046875" bestFit="1" customWidth="1"/>
    <col min="5" max="5" width="10.86328125" bestFit="1" customWidth="1"/>
    <col min="6" max="6" width="14.59765625" bestFit="1" customWidth="1"/>
    <col min="7" max="7" width="13.59765625" bestFit="1" customWidth="1"/>
    <col min="8" max="8" width="9.86328125" bestFit="1" customWidth="1"/>
    <col min="9" max="9" width="9.6640625" bestFit="1" customWidth="1"/>
    <col min="11" max="11" width="13.33203125" bestFit="1" customWidth="1"/>
    <col min="12" max="12" width="13.1328125" bestFit="1" customWidth="1"/>
    <col min="13" max="13" width="13.53125" bestFit="1" customWidth="1"/>
    <col min="14" max="14" width="9.3984375" bestFit="1" customWidth="1"/>
  </cols>
  <sheetData>
    <row r="1" spans="1:32" ht="25.15" x14ac:dyDescent="0.55000000000000004">
      <c r="A1" s="59" t="s">
        <v>4265</v>
      </c>
      <c r="B1" s="60"/>
      <c r="C1" s="60"/>
      <c r="D1" s="60"/>
      <c r="E1" s="60"/>
      <c r="F1" s="60"/>
      <c r="G1" s="60"/>
      <c r="H1" s="60"/>
      <c r="I1" s="61"/>
      <c r="K1" s="59" t="s">
        <v>4266</v>
      </c>
      <c r="L1" s="62"/>
      <c r="M1" s="62"/>
      <c r="N1" s="62"/>
      <c r="P1" s="1"/>
      <c r="Q1" s="1"/>
      <c r="R1" s="1"/>
      <c r="S1" s="1"/>
      <c r="T1" s="1"/>
      <c r="U1" s="1" t="s">
        <v>4267</v>
      </c>
      <c r="V1" s="1"/>
      <c r="W1" s="1"/>
      <c r="X1" s="1"/>
      <c r="Y1" s="1"/>
      <c r="Z1" s="1"/>
      <c r="AA1" s="1"/>
      <c r="AC1" s="59" t="s">
        <v>4268</v>
      </c>
      <c r="AD1" s="62"/>
      <c r="AE1" s="62"/>
      <c r="AF1" s="62"/>
    </row>
    <row r="2" spans="1:32" x14ac:dyDescent="0.4">
      <c r="A2" s="38" t="s">
        <v>4269</v>
      </c>
      <c r="B2" s="39" t="s">
        <v>4270</v>
      </c>
      <c r="C2" s="39" t="s">
        <v>4271</v>
      </c>
      <c r="D2" s="40" t="s">
        <v>4272</v>
      </c>
      <c r="E2" s="38" t="s">
        <v>4273</v>
      </c>
      <c r="F2" s="39" t="s">
        <v>4274</v>
      </c>
      <c r="G2" s="39" t="s">
        <v>4275</v>
      </c>
      <c r="H2" s="40" t="s">
        <v>4276</v>
      </c>
      <c r="I2" s="38" t="s">
        <v>4277</v>
      </c>
      <c r="K2" s="2" t="s">
        <v>4278</v>
      </c>
      <c r="L2" s="3" t="s">
        <v>4279</v>
      </c>
      <c r="M2" s="3" t="s">
        <v>4280</v>
      </c>
      <c r="N2" s="4" t="s">
        <v>4281</v>
      </c>
      <c r="P2" s="2" t="s">
        <v>4282</v>
      </c>
      <c r="Q2" s="2" t="s">
        <v>4283</v>
      </c>
      <c r="R2" s="2" t="s">
        <v>4284</v>
      </c>
      <c r="S2" s="2" t="s">
        <v>4285</v>
      </c>
      <c r="T2" s="2" t="s">
        <v>4286</v>
      </c>
      <c r="U2" s="2" t="s">
        <v>4287</v>
      </c>
      <c r="V2" s="2" t="s">
        <v>4288</v>
      </c>
      <c r="W2" s="2" t="s">
        <v>4289</v>
      </c>
      <c r="X2" s="2" t="s">
        <v>4290</v>
      </c>
      <c r="Y2" s="2" t="s">
        <v>4291</v>
      </c>
      <c r="Z2" s="2" t="s">
        <v>4292</v>
      </c>
      <c r="AA2" s="2" t="s">
        <v>4293</v>
      </c>
      <c r="AC2" s="2" t="s">
        <v>4294</v>
      </c>
      <c r="AD2" s="3" t="s">
        <v>4295</v>
      </c>
      <c r="AE2" s="3" t="s">
        <v>4296</v>
      </c>
      <c r="AF2" s="4" t="s">
        <v>4297</v>
      </c>
    </row>
    <row r="3" spans="1:32" x14ac:dyDescent="0.4">
      <c r="A3" s="41" t="s">
        <v>127</v>
      </c>
      <c r="B3" t="s">
        <v>246</v>
      </c>
      <c r="C3" t="s">
        <v>69</v>
      </c>
      <c r="D3" t="s">
        <v>50</v>
      </c>
      <c r="E3" s="42" t="s">
        <v>121</v>
      </c>
      <c r="F3" s="42" t="s">
        <v>62</v>
      </c>
      <c r="G3" s="42" t="s">
        <v>63</v>
      </c>
      <c r="H3" s="42" t="s">
        <v>54</v>
      </c>
      <c r="I3" s="42" t="s">
        <v>115</v>
      </c>
      <c r="K3" s="42" t="s">
        <v>1191</v>
      </c>
      <c r="L3" s="42" t="s">
        <v>1196</v>
      </c>
      <c r="M3" s="42" t="s">
        <v>1197</v>
      </c>
      <c r="N3" s="42" t="s">
        <v>1190</v>
      </c>
    </row>
    <row r="4" spans="1:32" x14ac:dyDescent="0.4">
      <c r="A4" t="s">
        <v>245</v>
      </c>
      <c r="B4" t="s">
        <v>273</v>
      </c>
      <c r="C4" t="s">
        <v>89</v>
      </c>
      <c r="D4" t="s">
        <v>70</v>
      </c>
      <c r="E4" s="42" t="s">
        <v>230</v>
      </c>
      <c r="F4" s="42" t="s">
        <v>132</v>
      </c>
      <c r="G4" s="42" t="s">
        <v>133</v>
      </c>
      <c r="H4" s="42" t="s">
        <v>162</v>
      </c>
      <c r="I4" s="42" t="s">
        <v>135</v>
      </c>
      <c r="K4" s="42" t="s">
        <v>1207</v>
      </c>
      <c r="L4" s="42" t="s">
        <v>1216</v>
      </c>
      <c r="M4" s="42" t="s">
        <v>1201</v>
      </c>
      <c r="N4" s="42" t="s">
        <v>1198</v>
      </c>
    </row>
    <row r="5" spans="1:32" x14ac:dyDescent="0.4">
      <c r="A5" t="s">
        <v>299</v>
      </c>
      <c r="B5" t="s">
        <v>282</v>
      </c>
      <c r="C5" t="s">
        <v>119</v>
      </c>
      <c r="D5" t="s">
        <v>130</v>
      </c>
      <c r="E5" s="42" t="s">
        <v>239</v>
      </c>
      <c r="F5" s="42" t="s">
        <v>250</v>
      </c>
      <c r="G5" s="42" t="s">
        <v>179</v>
      </c>
      <c r="H5" s="42" t="s">
        <v>171</v>
      </c>
      <c r="I5" s="42" t="s">
        <v>216</v>
      </c>
      <c r="K5" s="42" t="s">
        <v>1215</v>
      </c>
      <c r="L5" s="42" t="s">
        <v>1260</v>
      </c>
      <c r="M5" s="42" t="s">
        <v>1225</v>
      </c>
      <c r="N5" s="42" t="s">
        <v>1202</v>
      </c>
    </row>
    <row r="6" spans="1:32" x14ac:dyDescent="0.4">
      <c r="A6" t="s">
        <v>343</v>
      </c>
      <c r="B6" t="s">
        <v>318</v>
      </c>
      <c r="C6" t="s">
        <v>166</v>
      </c>
      <c r="D6" t="s">
        <v>248</v>
      </c>
      <c r="E6" s="42" t="s">
        <v>321</v>
      </c>
      <c r="F6" s="42" t="s">
        <v>259</v>
      </c>
      <c r="G6" s="42" t="s">
        <v>269</v>
      </c>
      <c r="H6" s="42" t="s">
        <v>180</v>
      </c>
      <c r="I6" s="42" t="s">
        <v>234</v>
      </c>
      <c r="K6" s="42" t="s">
        <v>1223</v>
      </c>
      <c r="L6" s="42" t="s">
        <v>1275</v>
      </c>
      <c r="M6" s="42" t="s">
        <v>1228</v>
      </c>
      <c r="N6" s="42" t="s">
        <v>1218</v>
      </c>
    </row>
    <row r="7" spans="1:32" x14ac:dyDescent="0.4">
      <c r="A7" t="s">
        <v>370</v>
      </c>
      <c r="B7" t="s">
        <v>398</v>
      </c>
      <c r="C7" t="s">
        <v>210</v>
      </c>
      <c r="D7" t="s">
        <v>329</v>
      </c>
      <c r="E7" s="42" t="s">
        <v>580</v>
      </c>
      <c r="F7" s="42" t="s">
        <v>268</v>
      </c>
      <c r="G7" s="42" t="s">
        <v>287</v>
      </c>
      <c r="H7" s="42" t="s">
        <v>206</v>
      </c>
      <c r="I7" s="42" t="s">
        <v>253</v>
      </c>
      <c r="K7" s="42" t="s">
        <v>1229</v>
      </c>
      <c r="L7" s="42" t="s">
        <v>1280</v>
      </c>
      <c r="M7" s="42" t="s">
        <v>1243</v>
      </c>
      <c r="N7" s="42"/>
    </row>
    <row r="8" spans="1:32" x14ac:dyDescent="0.4">
      <c r="A8" t="s">
        <v>379</v>
      </c>
      <c r="B8" t="s">
        <v>416</v>
      </c>
      <c r="C8" t="s">
        <v>219</v>
      </c>
      <c r="D8" t="s">
        <v>498</v>
      </c>
      <c r="E8" s="42" t="s">
        <v>634</v>
      </c>
      <c r="F8" s="42" t="s">
        <v>295</v>
      </c>
      <c r="G8" s="42" t="s">
        <v>296</v>
      </c>
      <c r="H8" s="42" t="s">
        <v>215</v>
      </c>
      <c r="I8" s="42" t="s">
        <v>298</v>
      </c>
      <c r="K8" s="42" t="s">
        <v>1241</v>
      </c>
      <c r="L8" s="42" t="s">
        <v>1286</v>
      </c>
      <c r="M8" s="42" t="s">
        <v>1261</v>
      </c>
      <c r="N8" s="42"/>
    </row>
    <row r="9" spans="1:32" x14ac:dyDescent="0.4">
      <c r="A9" t="s">
        <v>397</v>
      </c>
      <c r="B9" t="s">
        <v>425</v>
      </c>
      <c r="C9" t="s">
        <v>247</v>
      </c>
      <c r="D9" t="s">
        <v>543</v>
      </c>
      <c r="E9" s="42" t="s">
        <v>643</v>
      </c>
      <c r="F9" s="42" t="s">
        <v>331</v>
      </c>
      <c r="G9" s="42" t="s">
        <v>305</v>
      </c>
      <c r="H9" s="42" t="s">
        <v>252</v>
      </c>
      <c r="I9" s="42" t="s">
        <v>378</v>
      </c>
      <c r="K9" s="42" t="s">
        <v>1250</v>
      </c>
      <c r="L9" s="42" t="s">
        <v>1292</v>
      </c>
      <c r="M9" s="42" t="s">
        <v>1270</v>
      </c>
      <c r="N9" s="42"/>
      <c r="AE9" t="s">
        <v>4298</v>
      </c>
    </row>
    <row r="10" spans="1:32" x14ac:dyDescent="0.4">
      <c r="A10" t="s">
        <v>406</v>
      </c>
      <c r="B10" t="s">
        <v>541</v>
      </c>
      <c r="C10" t="s">
        <v>292</v>
      </c>
      <c r="D10" t="s">
        <v>597</v>
      </c>
      <c r="E10" s="42" t="s">
        <v>706</v>
      </c>
      <c r="F10" s="42" t="s">
        <v>375</v>
      </c>
      <c r="G10" s="42" t="s">
        <v>367</v>
      </c>
      <c r="H10" s="42" t="s">
        <v>288</v>
      </c>
      <c r="I10" s="42" t="s">
        <v>548</v>
      </c>
      <c r="K10" s="42" t="s">
        <v>1253</v>
      </c>
      <c r="L10" s="42" t="s">
        <v>1304</v>
      </c>
      <c r="M10" s="42" t="s">
        <v>1276</v>
      </c>
      <c r="N10" s="42"/>
      <c r="AF10" t="s">
        <v>4299</v>
      </c>
    </row>
    <row r="11" spans="1:32" x14ac:dyDescent="0.4">
      <c r="A11" t="s">
        <v>442</v>
      </c>
      <c r="B11" t="s">
        <v>595</v>
      </c>
      <c r="C11" t="s">
        <v>319</v>
      </c>
      <c r="D11" t="s">
        <v>624</v>
      </c>
      <c r="E11" s="42" t="s">
        <v>715</v>
      </c>
      <c r="F11" s="42" t="s">
        <v>420</v>
      </c>
      <c r="G11" s="42" t="s">
        <v>394</v>
      </c>
      <c r="H11" s="42" t="s">
        <v>297</v>
      </c>
      <c r="I11" s="42" t="s">
        <v>557</v>
      </c>
      <c r="K11" s="42" t="s">
        <v>1271</v>
      </c>
      <c r="L11" s="42" t="s">
        <v>1307</v>
      </c>
      <c r="M11" s="42" t="s">
        <v>1278</v>
      </c>
      <c r="N11" s="42"/>
    </row>
    <row r="12" spans="1:32" x14ac:dyDescent="0.4">
      <c r="A12" t="s">
        <v>459</v>
      </c>
      <c r="B12" t="s">
        <v>712</v>
      </c>
      <c r="C12" t="s">
        <v>408</v>
      </c>
      <c r="D12" t="s">
        <v>651</v>
      </c>
      <c r="E12" s="42" t="s">
        <v>777</v>
      </c>
      <c r="F12" s="42" t="s">
        <v>473</v>
      </c>
      <c r="G12" s="42" t="s">
        <v>457</v>
      </c>
      <c r="H12" s="42" t="s">
        <v>358</v>
      </c>
      <c r="I12" s="42" t="s">
        <v>620</v>
      </c>
      <c r="K12" s="42" t="s">
        <v>1274</v>
      </c>
      <c r="L12" s="42" t="s">
        <v>1313</v>
      </c>
      <c r="M12" s="42" t="s">
        <v>1284</v>
      </c>
      <c r="N12" s="42"/>
    </row>
    <row r="13" spans="1:32" x14ac:dyDescent="0.4">
      <c r="A13" t="s">
        <v>477</v>
      </c>
      <c r="B13" t="s">
        <v>730</v>
      </c>
      <c r="C13" t="s">
        <v>605</v>
      </c>
      <c r="D13" t="s">
        <v>848</v>
      </c>
      <c r="E13" s="42" t="s">
        <v>804</v>
      </c>
      <c r="F13" s="42" t="s">
        <v>509</v>
      </c>
      <c r="G13" s="42" t="s">
        <v>474</v>
      </c>
      <c r="H13" s="42" t="s">
        <v>386</v>
      </c>
      <c r="I13" s="42" t="s">
        <v>647</v>
      </c>
      <c r="K13" s="42" t="s">
        <v>1297</v>
      </c>
      <c r="L13" s="42" t="s">
        <v>1322</v>
      </c>
      <c r="M13" s="42" t="s">
        <v>1299</v>
      </c>
      <c r="N13" s="42"/>
    </row>
    <row r="14" spans="1:32" x14ac:dyDescent="0.4">
      <c r="A14" t="s">
        <v>603</v>
      </c>
      <c r="B14" t="s">
        <v>783</v>
      </c>
      <c r="C14" t="s">
        <v>793</v>
      </c>
      <c r="D14" t="s">
        <v>902</v>
      </c>
      <c r="E14" s="42" t="s">
        <v>822</v>
      </c>
      <c r="F14" s="42" t="s">
        <v>572</v>
      </c>
      <c r="G14" s="42" t="s">
        <v>600</v>
      </c>
      <c r="H14" s="42" t="s">
        <v>395</v>
      </c>
      <c r="I14" s="42" t="s">
        <v>656</v>
      </c>
      <c r="K14" s="42" t="s">
        <v>1300</v>
      </c>
      <c r="L14" s="42" t="s">
        <v>1346</v>
      </c>
      <c r="M14" s="42" t="s">
        <v>1305</v>
      </c>
      <c r="N14" s="42"/>
    </row>
    <row r="15" spans="1:32" x14ac:dyDescent="0.4">
      <c r="A15" t="s">
        <v>621</v>
      </c>
      <c r="B15" t="s">
        <v>819</v>
      </c>
      <c r="C15" t="s">
        <v>829</v>
      </c>
      <c r="D15" t="s">
        <v>1021</v>
      </c>
      <c r="E15" s="42" t="s">
        <v>831</v>
      </c>
      <c r="F15" s="42" t="s">
        <v>617</v>
      </c>
      <c r="G15" s="42" t="s">
        <v>618</v>
      </c>
      <c r="H15" s="42" t="s">
        <v>431</v>
      </c>
      <c r="I15" s="42" t="s">
        <v>737</v>
      </c>
      <c r="K15" s="42" t="s">
        <v>1306</v>
      </c>
      <c r="L15" s="42" t="s">
        <v>1349</v>
      </c>
      <c r="M15" s="42" t="s">
        <v>1308</v>
      </c>
      <c r="N15" s="42"/>
    </row>
    <row r="16" spans="1:32" x14ac:dyDescent="0.4">
      <c r="A16" t="s">
        <v>648</v>
      </c>
      <c r="B16" t="s">
        <v>837</v>
      </c>
      <c r="C16" t="s">
        <v>847</v>
      </c>
      <c r="E16" s="42" t="s">
        <v>858</v>
      </c>
      <c r="F16" s="42" t="s">
        <v>725</v>
      </c>
      <c r="G16" s="42" t="s">
        <v>735</v>
      </c>
      <c r="H16" s="42" t="s">
        <v>449</v>
      </c>
      <c r="I16" s="42" t="s">
        <v>754</v>
      </c>
      <c r="K16" s="42" t="s">
        <v>1321</v>
      </c>
      <c r="L16" s="42" t="s">
        <v>1375</v>
      </c>
      <c r="M16" s="42" t="s">
        <v>1323</v>
      </c>
      <c r="N16" s="42"/>
    </row>
    <row r="17" spans="1:14" x14ac:dyDescent="0.4">
      <c r="A17" t="s">
        <v>657</v>
      </c>
      <c r="B17" t="s">
        <v>873</v>
      </c>
      <c r="C17" t="s">
        <v>856</v>
      </c>
      <c r="E17" s="42" t="s">
        <v>903</v>
      </c>
      <c r="F17" s="42" t="s">
        <v>734</v>
      </c>
      <c r="G17" s="42" t="s">
        <v>797</v>
      </c>
      <c r="H17" s="42" t="s">
        <v>458</v>
      </c>
      <c r="I17" s="42" t="s">
        <v>799</v>
      </c>
      <c r="K17" s="42" t="s">
        <v>1366</v>
      </c>
      <c r="L17" s="42" t="s">
        <v>1395</v>
      </c>
      <c r="M17" s="42" t="s">
        <v>1335</v>
      </c>
      <c r="N17" s="42"/>
    </row>
    <row r="18" spans="1:14" x14ac:dyDescent="0.4">
      <c r="A18" t="s">
        <v>702</v>
      </c>
      <c r="B18" t="s">
        <v>900</v>
      </c>
      <c r="C18" t="s">
        <v>865</v>
      </c>
      <c r="E18" s="42" t="s">
        <v>912</v>
      </c>
      <c r="F18" s="42" t="s">
        <v>778</v>
      </c>
      <c r="G18" s="42"/>
      <c r="H18" s="42" t="s">
        <v>547</v>
      </c>
      <c r="I18" s="42" t="s">
        <v>826</v>
      </c>
      <c r="K18" s="42" t="s">
        <v>1369</v>
      </c>
      <c r="L18" s="42" t="s">
        <v>1398</v>
      </c>
      <c r="M18" s="42" t="s">
        <v>1338</v>
      </c>
      <c r="N18" s="42"/>
    </row>
    <row r="19" spans="1:14" x14ac:dyDescent="0.4">
      <c r="A19" t="s">
        <v>711</v>
      </c>
      <c r="B19" t="s">
        <v>927</v>
      </c>
      <c r="C19" t="s">
        <v>883</v>
      </c>
      <c r="E19" s="42" t="s">
        <v>957</v>
      </c>
      <c r="F19" s="42" t="s">
        <v>787</v>
      </c>
      <c r="G19" s="42"/>
      <c r="H19" s="42" t="s">
        <v>592</v>
      </c>
      <c r="I19" s="42" t="s">
        <v>898</v>
      </c>
      <c r="K19" s="42" t="s">
        <v>1380</v>
      </c>
      <c r="L19" s="42" t="s">
        <v>1401</v>
      </c>
      <c r="M19" s="42" t="s">
        <v>1344</v>
      </c>
      <c r="N19" s="42"/>
    </row>
    <row r="20" spans="1:14" x14ac:dyDescent="0.4">
      <c r="A20" t="s">
        <v>5408</v>
      </c>
      <c r="B20" t="s">
        <v>963</v>
      </c>
      <c r="C20" t="s">
        <v>928</v>
      </c>
      <c r="E20" s="42" t="s">
        <v>983</v>
      </c>
      <c r="F20" s="42" t="s">
        <v>877</v>
      </c>
      <c r="G20" s="42"/>
      <c r="H20" s="42" t="s">
        <v>610</v>
      </c>
      <c r="I20" s="42" t="s">
        <v>925</v>
      </c>
      <c r="K20" s="42" t="s">
        <v>1383</v>
      </c>
      <c r="L20" s="42" t="s">
        <v>92</v>
      </c>
      <c r="M20" s="42" t="s">
        <v>1382</v>
      </c>
      <c r="N20" s="42"/>
    </row>
    <row r="21" spans="1:14" x14ac:dyDescent="0.4">
      <c r="A21" t="s">
        <v>764</v>
      </c>
      <c r="B21" t="s">
        <v>972</v>
      </c>
      <c r="C21" t="s">
        <v>937</v>
      </c>
      <c r="E21" s="42" t="s">
        <v>1015</v>
      </c>
      <c r="F21" s="42" t="s">
        <v>913</v>
      </c>
      <c r="G21" s="42"/>
      <c r="H21" s="42" t="s">
        <v>619</v>
      </c>
      <c r="I21" s="42" t="s">
        <v>1065</v>
      </c>
      <c r="K21" s="42" t="s">
        <v>1394</v>
      </c>
      <c r="L21" s="42" t="s">
        <v>1421</v>
      </c>
      <c r="M21" s="42" t="s">
        <v>1396</v>
      </c>
      <c r="N21" s="42"/>
    </row>
    <row r="22" spans="1:14" x14ac:dyDescent="0.4">
      <c r="A22" t="s">
        <v>791</v>
      </c>
      <c r="B22" t="s">
        <v>996</v>
      </c>
      <c r="C22" t="s">
        <v>981</v>
      </c>
      <c r="E22" s="42" t="s">
        <v>1030</v>
      </c>
      <c r="F22" s="42" t="s">
        <v>967</v>
      </c>
      <c r="G22" s="42"/>
      <c r="H22" s="42" t="s">
        <v>673</v>
      </c>
      <c r="I22" s="42" t="s">
        <v>1069</v>
      </c>
      <c r="K22" s="42" t="s">
        <v>1408</v>
      </c>
      <c r="L22" s="42" t="s">
        <v>1427</v>
      </c>
      <c r="M22" s="42" t="s">
        <v>1407</v>
      </c>
      <c r="N22" s="42"/>
    </row>
    <row r="23" spans="1:14" x14ac:dyDescent="0.4">
      <c r="A23" t="s">
        <v>800</v>
      </c>
      <c r="B23" t="s">
        <v>1004</v>
      </c>
      <c r="C23" t="s">
        <v>989</v>
      </c>
      <c r="E23" s="42" t="s">
        <v>1036</v>
      </c>
      <c r="F23" s="42" t="s">
        <v>976</v>
      </c>
      <c r="G23" s="42"/>
      <c r="H23" s="42" t="s">
        <v>700</v>
      </c>
      <c r="I23" s="42" t="s">
        <v>1081</v>
      </c>
      <c r="K23" s="42" t="s">
        <v>1423</v>
      </c>
      <c r="L23" s="42" t="s">
        <v>1447</v>
      </c>
      <c r="M23" s="42" t="s">
        <v>1413</v>
      </c>
      <c r="N23" s="42"/>
    </row>
    <row r="24" spans="1:14" x14ac:dyDescent="0.4">
      <c r="A24" t="s">
        <v>872</v>
      </c>
      <c r="B24" t="s">
        <v>1012</v>
      </c>
      <c r="C24" t="s">
        <v>1005</v>
      </c>
      <c r="E24" s="42" t="s">
        <v>1044</v>
      </c>
      <c r="F24" s="42" t="s">
        <v>1008</v>
      </c>
      <c r="G24" s="42"/>
      <c r="H24" s="42" t="s">
        <v>709</v>
      </c>
      <c r="I24" s="42" t="s">
        <v>1085</v>
      </c>
      <c r="K24" s="42" t="s">
        <v>1435</v>
      </c>
      <c r="L24" s="42" t="s">
        <v>5742</v>
      </c>
      <c r="M24" s="42" t="s">
        <v>1425</v>
      </c>
      <c r="N24" s="42"/>
    </row>
    <row r="25" spans="1:14" x14ac:dyDescent="0.4">
      <c r="A25" t="s">
        <v>881</v>
      </c>
      <c r="B25" t="s">
        <v>1043</v>
      </c>
      <c r="C25" t="s">
        <v>1013</v>
      </c>
      <c r="E25" s="42" t="s">
        <v>1071</v>
      </c>
      <c r="F25" s="42"/>
      <c r="G25" s="42"/>
      <c r="H25" s="42" t="s">
        <v>744</v>
      </c>
      <c r="I25" s="42" t="s">
        <v>1097</v>
      </c>
      <c r="K25" s="42" t="s">
        <v>1446</v>
      </c>
      <c r="L25" s="42" t="s">
        <v>1470</v>
      </c>
      <c r="M25" s="42" t="s">
        <v>1428</v>
      </c>
      <c r="N25" s="42"/>
    </row>
    <row r="26" spans="1:14" x14ac:dyDescent="0.4">
      <c r="A26" t="s">
        <v>890</v>
      </c>
      <c r="B26" t="s">
        <v>1074</v>
      </c>
      <c r="E26" s="42" t="s">
        <v>1099</v>
      </c>
      <c r="F26" s="42"/>
      <c r="G26" s="42"/>
      <c r="H26" s="42" t="s">
        <v>753</v>
      </c>
      <c r="I26" s="42" t="s">
        <v>1121</v>
      </c>
      <c r="K26" s="42" t="s">
        <v>1455</v>
      </c>
      <c r="L26" s="42" t="s">
        <v>5609</v>
      </c>
      <c r="M26" s="42" t="s">
        <v>1431</v>
      </c>
      <c r="N26" s="42"/>
    </row>
    <row r="27" spans="1:14" x14ac:dyDescent="0.4">
      <c r="A27" t="s">
        <v>899</v>
      </c>
      <c r="B27" t="s">
        <v>1082</v>
      </c>
      <c r="E27" s="42" t="s">
        <v>1127</v>
      </c>
      <c r="F27" s="42"/>
      <c r="G27" s="42"/>
      <c r="H27" s="42" t="s">
        <v>906</v>
      </c>
      <c r="I27" s="42" t="s">
        <v>1133</v>
      </c>
      <c r="K27" s="42" t="s">
        <v>1469</v>
      </c>
      <c r="L27" s="42" t="s">
        <v>1488</v>
      </c>
      <c r="M27" s="42" t="s">
        <v>1445</v>
      </c>
      <c r="N27" s="42"/>
    </row>
    <row r="28" spans="1:14" x14ac:dyDescent="0.4">
      <c r="A28" t="s">
        <v>935</v>
      </c>
      <c r="B28" t="s">
        <v>1110</v>
      </c>
      <c r="E28" s="42" t="s">
        <v>1154</v>
      </c>
      <c r="F28" s="42"/>
      <c r="G28" s="42"/>
      <c r="H28" s="42" t="s">
        <v>915</v>
      </c>
      <c r="I28" s="42"/>
      <c r="K28" s="42" t="s">
        <v>1478</v>
      </c>
      <c r="L28" s="42" t="s">
        <v>1491</v>
      </c>
      <c r="M28" s="42" t="s">
        <v>1448</v>
      </c>
      <c r="N28" s="42"/>
    </row>
    <row r="29" spans="1:14" x14ac:dyDescent="0.4">
      <c r="A29" t="s">
        <v>962</v>
      </c>
      <c r="B29" t="s">
        <v>1118</v>
      </c>
      <c r="E29" s="42"/>
      <c r="F29" s="42"/>
      <c r="G29" s="42"/>
      <c r="H29" s="42" t="s">
        <v>924</v>
      </c>
      <c r="I29" s="42"/>
      <c r="K29" s="42"/>
      <c r="L29" s="42"/>
      <c r="M29" s="42" t="s">
        <v>1457</v>
      </c>
      <c r="N29" s="42"/>
    </row>
    <row r="30" spans="1:14" x14ac:dyDescent="0.4">
      <c r="A30" t="s">
        <v>979</v>
      </c>
      <c r="E30" s="42"/>
      <c r="F30" s="42"/>
      <c r="G30" s="42"/>
      <c r="H30" s="42" t="s">
        <v>933</v>
      </c>
      <c r="I30" s="42"/>
      <c r="K30" s="42"/>
      <c r="L30" s="42"/>
      <c r="M30" s="42" t="s">
        <v>1463</v>
      </c>
      <c r="N30" s="42"/>
    </row>
    <row r="31" spans="1:14" x14ac:dyDescent="0.4">
      <c r="A31" t="s">
        <v>995</v>
      </c>
      <c r="E31" s="42"/>
      <c r="F31" s="42"/>
      <c r="G31" s="42"/>
      <c r="H31" s="42" t="s">
        <v>1037</v>
      </c>
      <c r="I31" s="42"/>
      <c r="K31" s="42"/>
      <c r="L31" s="42"/>
      <c r="M31" s="42" t="s">
        <v>1474</v>
      </c>
      <c r="N31" s="42"/>
    </row>
    <row r="32" spans="1:14" x14ac:dyDescent="0.4">
      <c r="A32" t="s">
        <v>1011</v>
      </c>
      <c r="E32" s="42"/>
      <c r="F32" s="42"/>
      <c r="G32" s="42"/>
      <c r="H32" s="42" t="s">
        <v>1041</v>
      </c>
      <c r="I32" s="42"/>
      <c r="K32" s="42"/>
      <c r="L32" s="42"/>
      <c r="M32" s="42" t="s">
        <v>1477</v>
      </c>
      <c r="N32" s="42"/>
    </row>
    <row r="33" spans="1:14" x14ac:dyDescent="0.4">
      <c r="A33" t="s">
        <v>5409</v>
      </c>
      <c r="E33" s="42"/>
      <c r="F33" s="42"/>
      <c r="G33" s="42"/>
      <c r="H33" s="42" t="s">
        <v>1052</v>
      </c>
      <c r="I33" s="42"/>
      <c r="K33" s="42"/>
      <c r="L33" s="42"/>
      <c r="M33" s="42" t="s">
        <v>1480</v>
      </c>
      <c r="N33" s="42"/>
    </row>
    <row r="34" spans="1:14" x14ac:dyDescent="0.4">
      <c r="A34" t="s">
        <v>5409</v>
      </c>
      <c r="E34" s="42"/>
      <c r="F34" s="42"/>
      <c r="G34" s="42"/>
      <c r="H34" s="42" t="s">
        <v>1100</v>
      </c>
      <c r="I34" s="42"/>
      <c r="K34" s="42"/>
      <c r="L34" s="42"/>
      <c r="M34" s="42" t="s">
        <v>1494</v>
      </c>
      <c r="N34" s="42"/>
    </row>
    <row r="35" spans="1:14" x14ac:dyDescent="0.4">
      <c r="E35" s="42"/>
      <c r="F35" s="42"/>
      <c r="G35" s="42"/>
      <c r="H35" s="42" t="s">
        <v>1116</v>
      </c>
      <c r="I35" s="42"/>
      <c r="K35" s="42"/>
      <c r="L35" s="42"/>
      <c r="M35" s="42" t="s">
        <v>1502</v>
      </c>
      <c r="N35" s="42"/>
    </row>
    <row r="36" spans="1:14" x14ac:dyDescent="0.4">
      <c r="E36" s="42"/>
      <c r="F36" s="42"/>
      <c r="G36" s="42"/>
      <c r="H36" s="42" t="s">
        <v>1132</v>
      </c>
      <c r="I36" s="42"/>
      <c r="K36" s="42"/>
      <c r="L36" s="42"/>
      <c r="M36" s="42" t="s">
        <v>1508</v>
      </c>
      <c r="N36" s="42"/>
    </row>
    <row r="37" spans="1:14" x14ac:dyDescent="0.4">
      <c r="E37" s="42"/>
      <c r="F37" s="42"/>
      <c r="G37" s="42"/>
      <c r="H37" t="s">
        <v>1159</v>
      </c>
      <c r="I37" s="42"/>
      <c r="K37" s="42"/>
      <c r="L37" s="42"/>
      <c r="M37" s="42" t="s">
        <v>1510</v>
      </c>
      <c r="N37" s="42"/>
    </row>
    <row r="38" spans="1:14" x14ac:dyDescent="0.4">
      <c r="E38" s="42"/>
      <c r="F38" s="42"/>
      <c r="G38" s="42"/>
      <c r="H38" t="s">
        <v>1160</v>
      </c>
      <c r="I38" s="42"/>
    </row>
    <row r="39" spans="1:14" x14ac:dyDescent="0.4">
      <c r="E39" s="42"/>
      <c r="F39" s="42"/>
      <c r="G39" s="42"/>
      <c r="H39" t="s">
        <v>1161</v>
      </c>
      <c r="I39" s="42"/>
    </row>
  </sheetData>
  <mergeCells count="3">
    <mergeCell ref="A1:I1"/>
    <mergeCell ref="K1:N1"/>
    <mergeCell ref="AC1:AF1"/>
  </mergeCells>
  <phoneticPr fontId="11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3单元横向测试</vt:lpstr>
      <vt:lpstr>4单元横向测试</vt:lpstr>
      <vt:lpstr>5单元横向测试</vt:lpstr>
      <vt:lpstr>11单元横向测试</vt:lpstr>
      <vt:lpstr>错词表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11353</dc:creator>
  <cp:lastModifiedBy>jiangzhipeng</cp:lastModifiedBy>
  <dcterms:created xsi:type="dcterms:W3CDTF">2015-06-05T18:17:00Z</dcterms:created>
  <dcterms:modified xsi:type="dcterms:W3CDTF">2020-09-22T11:22:48Z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2052-11.1.0.9584</vt:lpwstr>
  </property>
</Properties>
</file>